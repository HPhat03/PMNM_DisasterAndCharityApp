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codeName="ThisWorkbook"/>
  <mc:AlternateContent xmlns:mc="http://schemas.openxmlformats.org/markup-compatibility/2006">
    <mc:Choice Requires="x15">
      <x15ac:absPath xmlns:x15ac="http://schemas.microsoft.com/office/spreadsheetml/2010/11/ac" url="C:\NakamuraWork\13_ABV\71_FileServer\209_20240910_CafeEngagementSurvey\50_Test\01_1次開発\52_TestResult\02_IT\"/>
    </mc:Choice>
  </mc:AlternateContent>
  <xr:revisionPtr revIDLastSave="0" documentId="13_ncr:1_{D872168D-E410-4CD2-BAB7-6836A5CB7B94}" xr6:coauthVersionLast="47" xr6:coauthVersionMax="47" xr10:uidLastSave="{00000000-0000-0000-0000-000000000000}"/>
  <bookViews>
    <workbookView xWindow="-120" yWindow="-120" windowWidth="29040" windowHeight="15720" activeTab="1" xr2:uid="{00000000-000D-0000-FFFF-FFFF00000000}"/>
  </bookViews>
  <sheets>
    <sheet name="障害No7_図-表記" sheetId="10" r:id="rId1"/>
    <sheet name="障害票一覧" sheetId="1" r:id="rId2"/>
    <sheet name="表示項目" sheetId="8" r:id="rId3"/>
    <sheet name="コード表" sheetId="2" r:id="rId4"/>
    <sheet name="原因区分" sheetId="3" r:id="rId5"/>
    <sheet name="設定シート" sheetId="4" r:id="rId6"/>
    <sheet name="プロセス" sheetId="9" r:id="rId7"/>
    <sheet name="バージョン情報" sheetId="7" r:id="rId8"/>
  </sheets>
  <functionGroups builtInGroupCount="19"/>
  <definedNames>
    <definedName name="_xlnm.Print_Area" localSheetId="4">原因区分!$A$1:$G$30</definedName>
    <definedName name="_xlnm.Print_Area" localSheetId="1">障害票一覧!$A$1:$BB$96</definedName>
    <definedName name="_xlnm.Print_Area" localSheetId="5">設定シート!$A$1:$P$21</definedName>
    <definedName name="ケース番号リスト範囲" localSheetId="2">コード表!$T$2</definedName>
    <definedName name="ケース番号リスト範囲">コード表!$T$2</definedName>
    <definedName name="コード表_ケース番号_開始">コード表!$T$3</definedName>
    <definedName name="コード表_ケース番号_終了">コード表!$T$103</definedName>
    <definedName name="コード表_シナリオID_開始">コード表!$R$3</definedName>
    <definedName name="コード表_シナリオID_終了">コード表!$R$24</definedName>
    <definedName name="コード表_影響度_開始">コード表!$H$3</definedName>
    <definedName name="コード表_影響度_終了">コード表!$H$30</definedName>
    <definedName name="コード表_管理識別_開始">コード表!$V$3</definedName>
    <definedName name="コード表_管理識別_終了">コード表!$V$30</definedName>
    <definedName name="コード表_工程_開始">コード表!$L$3</definedName>
    <definedName name="コード表_工程_終了">コード表!$L$30</definedName>
    <definedName name="コード表_重要度_開始">コード表!$J$3</definedName>
    <definedName name="コード表_重要度_終了">コード表!$J$30</definedName>
    <definedName name="コード表_所属略称_開始">コード表!$B$3</definedName>
    <definedName name="コード表_所属略称_終了">コード表!$B$30</definedName>
    <definedName name="コード表_担当者_開始">コード表!$D$3</definedName>
    <definedName name="コード表_担当者_終了">コード表!$D$30</definedName>
    <definedName name="コード表_発生頻度_開始">コード表!$F$3</definedName>
    <definedName name="コード表_発生頻度_終了">コード表!$F$30</definedName>
    <definedName name="コード表_不具合原因_開始">コード表!$P$3</definedName>
    <definedName name="コード表_不具合原因_終了">コード表!$P$24</definedName>
    <definedName name="コード表_不具合内容_開始">コード表!$N$3</definedName>
    <definedName name="コード表_不具合内容_終了">コード表!$N$24</definedName>
    <definedName name="サブシステムリスト" localSheetId="2">プロセス!$F$3:$H$1048576</definedName>
    <definedName name="サブシステム選択">プロセス!$D$2</definedName>
    <definedName name="サブシステム名">障害票一覧!$H$2</definedName>
    <definedName name="システム名">障害票一覧!$E$4</definedName>
    <definedName name="シナリオIDリスト範囲" localSheetId="2">コード表!$R$2</definedName>
    <definedName name="シナリオIDリスト範囲">コード表!$R$2</definedName>
    <definedName name="ドキュメント">バージョン情報!$C$3</definedName>
    <definedName name="バージョン">バージョン情報!$C$4</definedName>
    <definedName name="プロジェクト名">障害票一覧!$E$3</definedName>
    <definedName name="プロセス範囲">プロセス!$J$3:$L$19</definedName>
    <definedName name="影響度リスト範囲" localSheetId="2">コード表!$H$2</definedName>
    <definedName name="影響度リスト範囲">コード表!$H$2</definedName>
    <definedName name="管理識別リスト範囲" localSheetId="2">コード表!$V$2</definedName>
    <definedName name="管理識別リスト範囲">コード表!$V$2</definedName>
    <definedName name="管理単位_サブシステム">設定シート!$D$2</definedName>
    <definedName name="管理単位_開始">設定シート!$D$2</definedName>
    <definedName name="管理単位_管理単位１" localSheetId="2">設定シート!$E$2</definedName>
    <definedName name="管理単位_管理単位１">設定シート!$E$2</definedName>
    <definedName name="管理単位_管理単位２" localSheetId="2">設定シート!$F$2</definedName>
    <definedName name="管理単位_管理単位２">設定シート!$F$2</definedName>
    <definedName name="管理単位_終了">設定シート!$D$20</definedName>
    <definedName name="管理単位名_管理単位１">設定シート!$E$2</definedName>
    <definedName name="管理単位名_管理単位２">設定シート!$F$2</definedName>
    <definedName name="業務プロセスリスト" localSheetId="2">プロセス!$J$3:$L$1048576</definedName>
    <definedName name="業務プロセス範囲">プロセス!$F$3:$H$8</definedName>
    <definedName name="原因サブ" localSheetId="2">プロセス!$D$2</definedName>
    <definedName name="原因一覧_ヘッダ_原因区分">原因区分!$C$8</definedName>
    <definedName name="原因一覧_ヘッダ_原因区分詳細">原因区分!$E$8</definedName>
    <definedName name="原因一覧_ヘッダ_原因区分詳細内容説明">原因区分!$F$8</definedName>
    <definedName name="原因一覧_ヘッダ_原因分類">原因区分!$B$8</definedName>
    <definedName name="原因一覧_開始">原因区分!$B$9</definedName>
    <definedName name="原因一覧_終了">原因区分!$B$30</definedName>
    <definedName name="原因工程リスト範囲" localSheetId="2">コード表!$L$2</definedName>
    <definedName name="原因工程リスト範囲">コード表!$L$2</definedName>
    <definedName name="顧客名">障害票一覧!$E$2</definedName>
    <definedName name="工程名">障害票一覧!$H$3</definedName>
    <definedName name="重要度リスト範囲" localSheetId="2">コード表!$J$2</definedName>
    <definedName name="重要度リスト範囲">コード表!$J$2</definedName>
    <definedName name="所属略称リスト範囲" localSheetId="2">コード表!$B$2</definedName>
    <definedName name="所属略称リスト範囲">コード表!$B$2</definedName>
    <definedName name="障害原因リンク">障害票一覧!$D$6</definedName>
    <definedName name="障害原因範囲">障害票一覧!$Y$7</definedName>
    <definedName name="障害情報リンク">障害票一覧!$C$6</definedName>
    <definedName name="障害情報範囲">障害票一覧!$G$7</definedName>
    <definedName name="障害票一覧_ヘッダ_シナリオID">障害票一覧!$M$8</definedName>
    <definedName name="障害票一覧_ヘッダ_ステータス">障害票一覧!$C$8</definedName>
    <definedName name="障害票一覧_ヘッダ_テストケースID">障害票一覧!$O$8</definedName>
    <definedName name="障害票一覧_ヘッダ_テストケース番号">障害票一覧!$N$8</definedName>
    <definedName name="障害票一覧_ヘッダ_テスト項目№">障害票一覧!$P$8</definedName>
    <definedName name="障害票一覧_ヘッダ_リリース完了日">障害票一覧!$AD$8</definedName>
    <definedName name="障害票一覧_ヘッダ_リリース予定日">障害票一覧!$AC$8</definedName>
    <definedName name="障害票一覧_ヘッダ_依頼日">障害票一覧!$I$8</definedName>
    <definedName name="障害票一覧_ヘッダ_影響度">障害票一覧!$U$8</definedName>
    <definedName name="障害票一覧_ヘッダ_横展開内容">障害票一覧!$BB$8</definedName>
    <definedName name="障害票一覧_ヘッダ_横展開要否">障害票一覧!$BA$8</definedName>
    <definedName name="障害票一覧_ヘッダ_開発担当会社">障害票一覧!$AJ$8</definedName>
    <definedName name="障害票一覧_ヘッダ_開発担当者">障害票一覧!$AK$8</definedName>
    <definedName name="障害票一覧_ヘッダ_管理識別">障害票一覧!$D$8</definedName>
    <definedName name="障害票一覧_ヘッダ_管理番号">障害票一覧!$E$8</definedName>
    <definedName name="障害票一覧_ヘッダ_関連障害番号">障害票一覧!$AR$8</definedName>
    <definedName name="障害票一覧_ヘッダ_起票者">障害票一覧!$G$8</definedName>
    <definedName name="障害票一覧_ヘッダ_件名">障害票一覧!$K$8</definedName>
    <definedName name="障害票一覧_ヘッダ_検証完了日">障害票一覧!$AW$8</definedName>
    <definedName name="障害票一覧_ヘッダ_検証者">障害票一覧!$AU$8</definedName>
    <definedName name="障害票一覧_ヘッダ_検証予定日">障害票一覧!$AV$8</definedName>
    <definedName name="障害票一覧_ヘッダ_原因">障害票一覧!$AE$8</definedName>
    <definedName name="障害票一覧_ヘッダ_原因サブシステム名">障害票一覧!$AG$8</definedName>
    <definedName name="障害票一覧_ヘッダ_原因プロセス名">障害票一覧!$AI$8</definedName>
    <definedName name="障害票一覧_ヘッダ_原因業務プロセス名">障害票一覧!$AH$8</definedName>
    <definedName name="障害票一覧_ヘッダ_原因区分">障害票一覧!$AN$8</definedName>
    <definedName name="障害票一覧_ヘッダ_原因区分詳細">障害票一覧!$AO$8</definedName>
    <definedName name="障害票一覧_ヘッダ_原因工程">障害票一覧!$AL$8</definedName>
    <definedName name="障害票一覧_ヘッダ_原因分類">障害票一覧!$AM$8</definedName>
    <definedName name="障害票一覧_ヘッダ_最終行">障害票一覧!$A$8</definedName>
    <definedName name="障害票一覧_ヘッダ_修正対象">障害票一覧!$AZ$8</definedName>
    <definedName name="障害票一覧_ヘッダ_重要度">障害票一覧!$V$8</definedName>
    <definedName name="障害票一覧_ヘッダ_障害管理番号">障害票一覧!$F$8</definedName>
    <definedName name="障害票一覧_ヘッダ_対応完了日">障害票一覧!$AB$8</definedName>
    <definedName name="障害票一覧_ヘッダ_対応希望日">障害票一覧!$J$8</definedName>
    <definedName name="障害票一覧_ヘッダ_対応者">障害票一覧!$Y$8</definedName>
    <definedName name="障害票一覧_ヘッダ_対応受付日">障害票一覧!$Z$8</definedName>
    <definedName name="障害票一覧_ヘッダ_対応予定日">障害票一覧!$AA$8</definedName>
    <definedName name="障害票一覧_ヘッダ_対処">障害票一覧!$AF$8</definedName>
    <definedName name="障害票一覧_ヘッダ_内容">障害票一覧!$L$8</definedName>
    <definedName name="障害票一覧_ヘッダ_発生サブシステム名">障害票一覧!$Q$8</definedName>
    <definedName name="障害票一覧_ヘッダ_発生プロセス名">障害票一覧!$S$8</definedName>
    <definedName name="障害票一覧_ヘッダ_発生業務プロセス名">障害票一覧!$R$8</definedName>
    <definedName name="障害票一覧_ヘッダ_発生日">障害票一覧!$H$8</definedName>
    <definedName name="障害票一覧_ヘッダ_発生頻度">障害票一覧!$T$8</definedName>
    <definedName name="障害票一覧_ヘッダ_不具合原因">障害票一覧!$AQ$8</definedName>
    <definedName name="障害票一覧_ヘッダ_不具合内容">障害票一覧!$AP$8</definedName>
    <definedName name="障害票一覧_ヘッダ_無効行">障害票一覧!$B$8</definedName>
    <definedName name="障害票一覧_最終行">障害票一覧!$A$96</definedName>
    <definedName name="対処内容リンク">障害票一覧!$E$6</definedName>
    <definedName name="対処内容範囲">障害票一覧!$AF$7</definedName>
    <definedName name="担当者名リスト範囲" localSheetId="2">コード表!$D$2</definedName>
    <definedName name="担当者名リスト範囲">コード表!$D$2</definedName>
    <definedName name="発生頻度リスト範囲" localSheetId="2">コード表!$F$2</definedName>
    <definedName name="発生頻度リスト範囲">コード表!$F$2</definedName>
    <definedName name="不具合原因リスト範囲" localSheetId="2">コード表!$P$2</definedName>
    <definedName name="不具合原因リスト範囲">コード表!$P$2</definedName>
    <definedName name="不具合内容リスト範囲" localSheetId="2">コード表!$N$2</definedName>
    <definedName name="不具合内容リスト範囲">コード表!$N$2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 i="9" l="1"/>
  <c r="K2" i="9"/>
  <c r="J2" i="9"/>
  <c r="H2" i="9"/>
  <c r="G2" i="9"/>
  <c r="AI9" i="8"/>
  <c r="AH9" i="8"/>
  <c r="AG9" i="8"/>
  <c r="S9" i="8"/>
  <c r="R9" i="8"/>
  <c r="Q9" i="8"/>
  <c r="O95" i="1"/>
  <c r="F95" i="1"/>
  <c r="C95" i="1"/>
  <c r="A95" i="1"/>
  <c r="E95" i="1" s="1"/>
  <c r="O94" i="1"/>
  <c r="F94" i="1"/>
  <c r="C94" i="1"/>
  <c r="A94" i="1"/>
  <c r="E94" i="1" s="1"/>
  <c r="O93" i="1"/>
  <c r="F93" i="1"/>
  <c r="E93" i="1"/>
  <c r="C93" i="1"/>
  <c r="A93" i="1"/>
  <c r="O92" i="1"/>
  <c r="F92" i="1"/>
  <c r="C92" i="1"/>
  <c r="A92" i="1"/>
  <c r="E92" i="1" s="1"/>
  <c r="O91" i="1"/>
  <c r="F91" i="1"/>
  <c r="C91" i="1"/>
  <c r="A91" i="1"/>
  <c r="E91" i="1" s="1"/>
  <c r="O90" i="1"/>
  <c r="F90" i="1"/>
  <c r="E90" i="1"/>
  <c r="C90" i="1"/>
  <c r="A90" i="1"/>
  <c r="O89" i="1"/>
  <c r="F89" i="1"/>
  <c r="C89" i="1"/>
  <c r="A89" i="1"/>
  <c r="E89" i="1" s="1"/>
  <c r="O88" i="1"/>
  <c r="F88" i="1"/>
  <c r="C88" i="1"/>
  <c r="A88" i="1"/>
  <c r="E88" i="1" s="1"/>
  <c r="O87" i="1"/>
  <c r="F87" i="1"/>
  <c r="C87" i="1"/>
  <c r="A87" i="1"/>
  <c r="E87" i="1" s="1"/>
  <c r="O86" i="1"/>
  <c r="F86" i="1"/>
  <c r="C86" i="1"/>
  <c r="A86" i="1"/>
  <c r="E86" i="1" s="1"/>
  <c r="O85" i="1"/>
  <c r="F85" i="1"/>
  <c r="E85" i="1"/>
  <c r="C85" i="1"/>
  <c r="A85" i="1"/>
  <c r="O84" i="1"/>
  <c r="F84" i="1"/>
  <c r="C84" i="1"/>
  <c r="A84" i="1"/>
  <c r="E84" i="1" s="1"/>
  <c r="O83" i="1"/>
  <c r="F83" i="1"/>
  <c r="C83" i="1"/>
  <c r="A83" i="1"/>
  <c r="E83" i="1" s="1"/>
  <c r="O82" i="1"/>
  <c r="F82" i="1"/>
  <c r="E82" i="1"/>
  <c r="C82" i="1"/>
  <c r="A82" i="1"/>
  <c r="O81" i="1"/>
  <c r="F81" i="1"/>
  <c r="C81" i="1"/>
  <c r="A81" i="1"/>
  <c r="E81" i="1" s="1"/>
  <c r="O80" i="1"/>
  <c r="F80" i="1"/>
  <c r="C80" i="1"/>
  <c r="A80" i="1"/>
  <c r="E80" i="1" s="1"/>
  <c r="O79" i="1"/>
  <c r="F79" i="1"/>
  <c r="C79" i="1"/>
  <c r="A79" i="1"/>
  <c r="E79" i="1" s="1"/>
  <c r="O78" i="1"/>
  <c r="F78" i="1"/>
  <c r="C78" i="1"/>
  <c r="A78" i="1"/>
  <c r="E78" i="1" s="1"/>
  <c r="O77" i="1"/>
  <c r="F77" i="1"/>
  <c r="E77" i="1"/>
  <c r="C77" i="1"/>
  <c r="A77" i="1"/>
  <c r="O76" i="1"/>
  <c r="F76" i="1"/>
  <c r="C76" i="1"/>
  <c r="A76" i="1"/>
  <c r="E76" i="1" s="1"/>
  <c r="O75" i="1"/>
  <c r="F75" i="1"/>
  <c r="C75" i="1"/>
  <c r="A75" i="1"/>
  <c r="E75" i="1" s="1"/>
  <c r="O74" i="1"/>
  <c r="F74" i="1"/>
  <c r="E74" i="1"/>
  <c r="C74" i="1"/>
  <c r="A74" i="1"/>
  <c r="O73" i="1"/>
  <c r="F73" i="1"/>
  <c r="C73" i="1"/>
  <c r="A73" i="1"/>
  <c r="E73" i="1" s="1"/>
  <c r="O72" i="1"/>
  <c r="F72" i="1"/>
  <c r="C72" i="1"/>
  <c r="A72" i="1"/>
  <c r="E72" i="1" s="1"/>
  <c r="O71" i="1"/>
  <c r="F71" i="1"/>
  <c r="C71" i="1"/>
  <c r="A71" i="1"/>
  <c r="E71" i="1" s="1"/>
  <c r="O70" i="1"/>
  <c r="F70" i="1"/>
  <c r="C70" i="1"/>
  <c r="A70" i="1"/>
  <c r="E70" i="1" s="1"/>
  <c r="O69" i="1"/>
  <c r="F69" i="1"/>
  <c r="E69" i="1"/>
  <c r="C69" i="1"/>
  <c r="A69" i="1"/>
  <c r="O68" i="1"/>
  <c r="F68" i="1"/>
  <c r="C68" i="1"/>
  <c r="A68" i="1"/>
  <c r="E68" i="1" s="1"/>
  <c r="O67" i="1"/>
  <c r="F67" i="1"/>
  <c r="C67" i="1"/>
  <c r="A67" i="1"/>
  <c r="E67" i="1" s="1"/>
  <c r="O66" i="1"/>
  <c r="F66" i="1"/>
  <c r="E66" i="1"/>
  <c r="C66" i="1"/>
  <c r="A66" i="1"/>
  <c r="O65" i="1"/>
  <c r="F65" i="1"/>
  <c r="C65" i="1"/>
  <c r="A65" i="1"/>
  <c r="E65" i="1" s="1"/>
  <c r="O64" i="1"/>
  <c r="F64" i="1"/>
  <c r="C64" i="1"/>
  <c r="A64" i="1"/>
  <c r="E64" i="1" s="1"/>
  <c r="O63" i="1"/>
  <c r="F63" i="1"/>
  <c r="C63" i="1"/>
  <c r="A63" i="1"/>
  <c r="E63" i="1" s="1"/>
  <c r="O62" i="1"/>
  <c r="F62" i="1"/>
  <c r="C62" i="1"/>
  <c r="A62" i="1"/>
  <c r="E62" i="1" s="1"/>
  <c r="O61" i="1"/>
  <c r="F61" i="1"/>
  <c r="E61" i="1"/>
  <c r="C61" i="1"/>
  <c r="A61" i="1"/>
  <c r="O60" i="1"/>
  <c r="F60" i="1"/>
  <c r="C60" i="1"/>
  <c r="A60" i="1"/>
  <c r="E60" i="1" s="1"/>
  <c r="O59" i="1"/>
  <c r="F59" i="1"/>
  <c r="C59" i="1"/>
  <c r="A59" i="1"/>
  <c r="E59" i="1" s="1"/>
  <c r="O58" i="1"/>
  <c r="F58" i="1"/>
  <c r="E58" i="1"/>
  <c r="C58" i="1"/>
  <c r="A58" i="1"/>
  <c r="O57" i="1"/>
  <c r="F57" i="1"/>
  <c r="C57" i="1"/>
  <c r="A57" i="1"/>
  <c r="E57" i="1" s="1"/>
  <c r="O56" i="1"/>
  <c r="F56" i="1"/>
  <c r="C56" i="1"/>
  <c r="A56" i="1"/>
  <c r="E56" i="1" s="1"/>
  <c r="O55" i="1"/>
  <c r="F55" i="1"/>
  <c r="C55" i="1"/>
  <c r="A55" i="1"/>
  <c r="E55" i="1" s="1"/>
  <c r="O54" i="1"/>
  <c r="F54" i="1"/>
  <c r="C54" i="1"/>
  <c r="A54" i="1"/>
  <c r="E54" i="1" s="1"/>
  <c r="O53" i="1"/>
  <c r="F53" i="1"/>
  <c r="E53" i="1"/>
  <c r="C53" i="1"/>
  <c r="A53" i="1"/>
  <c r="O52" i="1"/>
  <c r="F52" i="1"/>
  <c r="C52" i="1"/>
  <c r="A52" i="1"/>
  <c r="E52" i="1" s="1"/>
  <c r="O51" i="1"/>
  <c r="F51" i="1"/>
  <c r="C51" i="1"/>
  <c r="A51" i="1"/>
  <c r="E51" i="1" s="1"/>
  <c r="O50" i="1"/>
  <c r="F50" i="1"/>
  <c r="E50" i="1"/>
  <c r="C50" i="1"/>
  <c r="A50" i="1"/>
  <c r="O49" i="1"/>
  <c r="F49" i="1"/>
  <c r="C49" i="1"/>
  <c r="A49" i="1"/>
  <c r="E49" i="1" s="1"/>
  <c r="O48" i="1"/>
  <c r="F48" i="1"/>
  <c r="C48" i="1"/>
  <c r="A48" i="1"/>
  <c r="E48" i="1" s="1"/>
  <c r="O47" i="1"/>
  <c r="F47" i="1"/>
  <c r="C47" i="1"/>
  <c r="A47" i="1"/>
  <c r="E47" i="1" s="1"/>
  <c r="O46" i="1"/>
  <c r="F46" i="1"/>
  <c r="C46" i="1"/>
  <c r="A46" i="1"/>
  <c r="E46" i="1" s="1"/>
  <c r="O45" i="1"/>
  <c r="F45" i="1"/>
  <c r="E45" i="1"/>
  <c r="C45" i="1"/>
  <c r="A45" i="1"/>
  <c r="O44" i="1"/>
  <c r="F44" i="1"/>
  <c r="C44" i="1"/>
  <c r="A44" i="1"/>
  <c r="E44" i="1" s="1"/>
  <c r="O43" i="1"/>
  <c r="F43" i="1"/>
  <c r="C43" i="1"/>
  <c r="A43" i="1"/>
  <c r="E43" i="1" s="1"/>
  <c r="O42" i="1"/>
  <c r="F42" i="1"/>
  <c r="E42" i="1"/>
  <c r="C42" i="1"/>
  <c r="A42" i="1"/>
  <c r="O41" i="1"/>
  <c r="F41" i="1"/>
  <c r="C41" i="1"/>
  <c r="A41" i="1"/>
  <c r="E41" i="1" s="1"/>
  <c r="O40" i="1"/>
  <c r="F40" i="1"/>
  <c r="C40" i="1"/>
  <c r="A40" i="1"/>
  <c r="E40" i="1" s="1"/>
  <c r="O39" i="1"/>
  <c r="F39" i="1"/>
  <c r="C39" i="1"/>
  <c r="A39" i="1"/>
  <c r="E39" i="1" s="1"/>
  <c r="O38" i="1"/>
  <c r="F38" i="1"/>
  <c r="C38" i="1"/>
  <c r="A38" i="1"/>
  <c r="E38" i="1" s="1"/>
  <c r="O37" i="1"/>
  <c r="E37" i="1"/>
  <c r="F37" i="1" s="1"/>
  <c r="C37" i="1"/>
  <c r="A37" i="1"/>
  <c r="O36" i="1"/>
  <c r="C36" i="1"/>
  <c r="A36" i="1"/>
  <c r="E36" i="1" s="1"/>
  <c r="F36" i="1" s="1"/>
  <c r="O35" i="1"/>
  <c r="C35" i="1"/>
  <c r="A35" i="1"/>
  <c r="E35" i="1" s="1"/>
  <c r="F35" i="1" s="1"/>
  <c r="O34" i="1"/>
  <c r="E34" i="1"/>
  <c r="F34" i="1" s="1"/>
  <c r="C34" i="1"/>
  <c r="A34" i="1"/>
  <c r="O33" i="1"/>
  <c r="C33" i="1"/>
  <c r="A33" i="1"/>
  <c r="E33" i="1" s="1"/>
  <c r="F33" i="1" s="1"/>
  <c r="O32" i="1"/>
  <c r="C32" i="1"/>
  <c r="A32" i="1"/>
  <c r="E32" i="1" s="1"/>
  <c r="F32" i="1" s="1"/>
  <c r="O31" i="1"/>
  <c r="C31" i="1"/>
  <c r="A31" i="1"/>
  <c r="E31" i="1" s="1"/>
  <c r="F31" i="1" s="1"/>
  <c r="O30" i="1"/>
  <c r="C30" i="1"/>
  <c r="A30" i="1"/>
  <c r="E30" i="1" s="1"/>
  <c r="F30" i="1" s="1"/>
  <c r="O29" i="1"/>
  <c r="E29" i="1"/>
  <c r="F29" i="1" s="1"/>
  <c r="C29" i="1"/>
  <c r="A29" i="1"/>
  <c r="O28" i="1"/>
  <c r="C28" i="1"/>
  <c r="A28" i="1"/>
  <c r="E28" i="1" s="1"/>
  <c r="F28" i="1" s="1"/>
  <c r="O27" i="1"/>
  <c r="C27" i="1"/>
  <c r="A27" i="1"/>
  <c r="E27" i="1" s="1"/>
  <c r="F27" i="1" s="1"/>
  <c r="O26" i="1"/>
  <c r="E26" i="1"/>
  <c r="F26" i="1" s="1"/>
  <c r="C26" i="1"/>
  <c r="A26" i="1"/>
  <c r="O25" i="1"/>
  <c r="C25" i="1"/>
  <c r="A25" i="1"/>
  <c r="E25" i="1" s="1"/>
  <c r="F25" i="1" s="1"/>
  <c r="O24" i="1"/>
  <c r="C24" i="1"/>
  <c r="A24" i="1"/>
  <c r="E24" i="1" s="1"/>
  <c r="F24" i="1" s="1"/>
  <c r="O23" i="1"/>
  <c r="C23" i="1"/>
  <c r="A23" i="1"/>
  <c r="E23" i="1" s="1"/>
  <c r="F23" i="1" s="1"/>
  <c r="O22" i="1"/>
  <c r="C22" i="1"/>
  <c r="A22" i="1"/>
  <c r="E22" i="1" s="1"/>
  <c r="F22" i="1" s="1"/>
  <c r="O21" i="1"/>
  <c r="E21" i="1"/>
  <c r="F21" i="1" s="1"/>
  <c r="C21" i="1"/>
  <c r="A21" i="1"/>
  <c r="O20" i="1"/>
  <c r="C20" i="1"/>
  <c r="A20" i="1"/>
  <c r="E20" i="1" s="1"/>
  <c r="F20" i="1" s="1"/>
  <c r="O19" i="1"/>
  <c r="C19" i="1"/>
  <c r="A19" i="1"/>
  <c r="E19" i="1" s="1"/>
  <c r="F19" i="1" s="1"/>
  <c r="O18" i="1"/>
  <c r="E18" i="1"/>
  <c r="F18" i="1" s="1"/>
  <c r="C18" i="1"/>
  <c r="A18" i="1"/>
  <c r="O17" i="1"/>
  <c r="C17" i="1"/>
  <c r="A17" i="1"/>
  <c r="E17" i="1" s="1"/>
  <c r="F17" i="1" s="1"/>
  <c r="O16" i="1"/>
  <c r="C16" i="1"/>
  <c r="A16" i="1"/>
  <c r="E16" i="1" s="1"/>
  <c r="F16" i="1" s="1"/>
  <c r="O15" i="1"/>
  <c r="C15" i="1"/>
  <c r="A15" i="1"/>
  <c r="E15" i="1" s="1"/>
  <c r="F15" i="1" s="1"/>
  <c r="O14" i="1"/>
  <c r="C14" i="1"/>
  <c r="A14" i="1"/>
  <c r="E14" i="1" s="1"/>
  <c r="F14" i="1" s="1"/>
  <c r="O13" i="1"/>
  <c r="E13" i="1"/>
  <c r="F13" i="1" s="1"/>
  <c r="C13" i="1"/>
  <c r="A13" i="1"/>
  <c r="O12" i="1"/>
  <c r="C12" i="1"/>
  <c r="A12" i="1"/>
  <c r="E12" i="1" s="1"/>
  <c r="F12" i="1" s="1"/>
  <c r="O11" i="1"/>
  <c r="C11" i="1"/>
  <c r="A11" i="1"/>
  <c r="E11" i="1" s="1"/>
  <c r="F11" i="1" s="1"/>
  <c r="O10" i="1"/>
  <c r="E10" i="1"/>
  <c r="F10" i="1" s="1"/>
  <c r="C10" i="1"/>
  <c r="A10" i="1"/>
  <c r="A9" i="1"/>
  <c r="E9" i="1" s="1"/>
  <c r="F9" i="1" s="1"/>
  <c r="AI8" i="1"/>
  <c r="AH8" i="1"/>
  <c r="AG8" i="1"/>
  <c r="S8" i="1"/>
  <c r="R8" i="1"/>
  <c r="Q8" i="1"/>
  <c r="M4" i="1"/>
  <c r="M3" i="1"/>
  <c r="M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オ 大森 由美子</author>
    <author>カ 金井 拓哉</author>
  </authors>
  <commentList>
    <comment ref="A8" authorId="0" shapeId="0" xr:uid="{00000000-0006-0000-0100-000001000000}">
      <text>
        <r>
          <rPr>
            <b/>
            <sz val="9"/>
            <rFont val="ＭＳ Ｐゴシック"/>
            <family val="3"/>
            <charset val="128"/>
          </rPr>
          <t>自動採番されます。</t>
        </r>
      </text>
    </comment>
    <comment ref="C8" authorId="1" shapeId="0" xr:uid="{00000000-0006-0000-0100-000002000000}">
      <text>
        <r>
          <rPr>
            <b/>
            <sz val="9"/>
            <rFont val="ＭＳ Ｐゴシック"/>
            <family val="3"/>
            <charset val="128"/>
          </rPr>
          <t>以下のステータスが自動で反映されます。
・未着手
・対応中
・修正完了
・検証完了</t>
        </r>
      </text>
    </comment>
  </commentList>
</comments>
</file>

<file path=xl/sharedStrings.xml><?xml version="1.0" encoding="utf-8"?>
<sst xmlns="http://schemas.openxmlformats.org/spreadsheetml/2006/main" count="1682" uniqueCount="494">
  <si>
    <t>DB：コースマスタ</t>
  </si>
  <si>
    <t>DB：コース評価マスタ</t>
  </si>
  <si>
    <t>DB：コース平均</t>
  </si>
  <si>
    <t>【操作手順】</t>
  </si>
  <si>
    <t>　１．登録したコースに対し、コメント評価を入力し、バッチ起動</t>
  </si>
  <si>
    <t>[ DB：コース評価マスタ ]を使って、[DB：コース評価_平均]に対し、平均値をセット。</t>
  </si>
  <si>
    <t>コースID</t>
  </si>
  <si>
    <t>申込申請番号</t>
  </si>
  <si>
    <t>コース別_評価</t>
  </si>
  <si>
    <t>申込状態区分</t>
  </si>
  <si>
    <t>評価平均</t>
  </si>
  <si>
    <t>Test_ID</t>
  </si>
  <si>
    <t>001</t>
  </si>
  <si>
    <t>3:受付済</t>
  </si>
  <si>
    <t>→</t>
  </si>
  <si>
    <t>002</t>
  </si>
  <si>
    <t>003</t>
  </si>
  <si>
    <t>004</t>
  </si>
  <si>
    <t>　２．「講師」にて、【1】のコースを削除 (削除のため、ステータス=無効 )</t>
  </si>
  <si>
    <t>4:無効</t>
  </si>
  <si>
    <t>　３．【1】と同じIDで、コースを登録</t>
  </si>
  <si>
    <t>例：ID=「Course_Delete」で、コース登録を実施</t>
  </si>
  <si>
    <t>　４．バッチを起動し、評価をクリア</t>
  </si>
  <si>
    <t>　　※ [コース概要]画面にて、【コース評価 クリア】されていることを確認</t>
  </si>
  <si>
    <t>　５．「コース検索」画面で、[評価]項目を入れた状態で、検索を実施</t>
  </si>
  <si>
    <t>現状_NG画面：</t>
  </si>
  <si>
    <t>障害票一覧</t>
  </si>
  <si>
    <t>顧客名</t>
  </si>
  <si>
    <t>KnowledgeC@fe</t>
  </si>
  <si>
    <t>サブシステム名</t>
  </si>
  <si>
    <t>エンゲージメントサーベイ機能</t>
  </si>
  <si>
    <t>障害発生数</t>
  </si>
  <si>
    <t>件</t>
  </si>
  <si>
    <t>プロジェクト名</t>
  </si>
  <si>
    <t>工程名</t>
  </si>
  <si>
    <t>IT</t>
  </si>
  <si>
    <t>障害修正数</t>
  </si>
  <si>
    <t>システム名</t>
  </si>
  <si>
    <t>障害検証数</t>
  </si>
  <si>
    <t>複数のﾌﾞｯｸで同一ｻﾌﾞｼｽﾃﾑの障害を管理する場合、
障害票管理番号は重複しないよう上書きしてください。</t>
  </si>
  <si>
    <t>&gt;&gt;障害情報へ</t>
  </si>
  <si>
    <t>&gt;&gt;障害原因・対処へ</t>
  </si>
  <si>
    <t>※必須項目が未入力の場合、PWaaSに取り込まれない可能性があります。</t>
  </si>
  <si>
    <t xml:space="preserve"> 障害情報</t>
  </si>
  <si>
    <t xml:space="preserve"> 障害原因・ 対処</t>
  </si>
  <si>
    <t>No.</t>
  </si>
  <si>
    <t>無効行</t>
  </si>
  <si>
    <t>ステータス</t>
  </si>
  <si>
    <t>管理識別</t>
  </si>
  <si>
    <t>管理番号</t>
  </si>
  <si>
    <t>障害管理番号</t>
  </si>
  <si>
    <t>起票者</t>
  </si>
  <si>
    <r>
      <rPr>
        <b/>
        <sz val="9"/>
        <rFont val="Meiryo UI"/>
        <family val="3"/>
        <charset val="128"/>
      </rPr>
      <t xml:space="preserve">発生日
</t>
    </r>
    <r>
      <rPr>
        <b/>
        <sz val="9"/>
        <color rgb="FFFF0000"/>
        <rFont val="Meiryo UI"/>
        <family val="3"/>
        <charset val="128"/>
      </rPr>
      <t>(必須)</t>
    </r>
  </si>
  <si>
    <t>依頼日</t>
  </si>
  <si>
    <t>対応希望日</t>
  </si>
  <si>
    <t>件名</t>
  </si>
  <si>
    <t>障害内容</t>
  </si>
  <si>
    <t>シナリオID</t>
  </si>
  <si>
    <t>テストケース番号</t>
  </si>
  <si>
    <t>テストケースID</t>
  </si>
  <si>
    <t>テスト項目№</t>
  </si>
  <si>
    <t>発生頻度</t>
  </si>
  <si>
    <t>影響度</t>
  </si>
  <si>
    <t>重要度</t>
  </si>
  <si>
    <t>フリー項目</t>
  </si>
  <si>
    <t>添付資料</t>
  </si>
  <si>
    <t>対応者</t>
  </si>
  <si>
    <t>対応受付日</t>
  </si>
  <si>
    <t>対応予定日</t>
  </si>
  <si>
    <t>対応完了日</t>
  </si>
  <si>
    <t>リリース予定日</t>
  </si>
  <si>
    <t>リリース完了日</t>
  </si>
  <si>
    <t>原因</t>
  </si>
  <si>
    <t>対処</t>
  </si>
  <si>
    <t>開発担当会社</t>
  </si>
  <si>
    <t>開発担当者</t>
  </si>
  <si>
    <t>原因工程</t>
  </si>
  <si>
    <t>原因分類</t>
  </si>
  <si>
    <t>原因区分</t>
  </si>
  <si>
    <t>原因区分詳細</t>
  </si>
  <si>
    <t>不具合内容</t>
  </si>
  <si>
    <t>不具合原因</t>
  </si>
  <si>
    <t>関連障害番号</t>
  </si>
  <si>
    <t>検証者</t>
  </si>
  <si>
    <t>検証予定日</t>
  </si>
  <si>
    <t>検証完了日</t>
  </si>
  <si>
    <t>修正対象</t>
  </si>
  <si>
    <t>横展開要否</t>
  </si>
  <si>
    <t>横展開内容</t>
  </si>
  <si>
    <t>x</t>
  </si>
  <si>
    <t>修正完了</t>
  </si>
  <si>
    <t>五十嵐</t>
  </si>
  <si>
    <t>レコメンドリクエストパラメータ設定ミス（cust/cookieフォーマットミス）</t>
  </si>
  <si>
    <t>【操作手順】
　「マーページ&gt;レコメンド表示枠のコース概要クリック」コース概要表示
「ehge 開発者ツール&gt;コース概要レコメンドリクエストspec=pc311」にて、設定パラメータを確認
【現象】
　「コース概要レコメンドリクエストspec=pc311」のパラメータ、cust/cookieが正しく設定されてない。
　　追記：他のアイジェントサーバへ送るレコメンドリクエストと通知についてもcustの設定が正しくない。
　　　　</t>
  </si>
  <si>
    <t>エンゲージメントサーベイ比較</t>
  </si>
  <si>
    <t>エンゲージメントサーベイ比較検索</t>
  </si>
  <si>
    <t>毎回</t>
  </si>
  <si>
    <t>回避不可</t>
  </si>
  <si>
    <t>急</t>
  </si>
  <si>
    <t>Phong</t>
  </si>
  <si>
    <t xml:space="preserve">【直接原因】
・ページ遷移方法で location.href を使用しているため、Reactのstateにデータ存在しません。
【作り込み原因】
・　コース概要でcust cookieのデータが完全であることを確認済み
【根本原因】
・マイページからコース概要に遷移のテストが不足しています。
</t>
  </si>
  <si>
    <t>詳細をABVに確認
【直接原因に対する対応】
・location.href を navigate に変更する
【根本原因に対する対応】
・てのデータ送信メソッドを Agent に対して確認する
【どういう横展開したのか】
・コース概要, マイページ
【横展開した結果に対する対応】
・ コース概要, マイページでlocation.href を navigate に変更する</t>
  </si>
  <si>
    <t>【内容】
【対象数】
【対象】
【完了日】</t>
  </si>
  <si>
    <t>Anh</t>
  </si>
  <si>
    <t xml:space="preserve">ブラウザタブに表示されるページタイトルが間違っている
</t>
  </si>
  <si>
    <t xml:space="preserve">【操作手順】
テストNo：03-01-03
「エンゲージメントサーベイ設定参照」画面を開く。
「エンゲージメントサーベイ設定参照」ボタンを押下する。
【期待値】
ブラウザタブに表示されるページタイトルが以下に表示される
・学習レポート(テスト比較)検索　→　エンゲージメントサーベイ比較検索
・学習レポート(テスト比較)参照　→　エンゲージメントサーベイ比較　
【現象】
ブラウザタブに表示されるページタイトルが間違っている
・エンゲージメントサーベイ比較検索　：　学習レポート(テスト比較)検索
・エンゲージメントサーベイ比較　：　学習レポート(テスト比較)参照
【テスト仕様】
画面：エンゲージメントサーベイ比較検索　と　エンゲージメントサーベイ比較
権限：講師
</t>
  </si>
  <si>
    <t>Hao</t>
  </si>
  <si>
    <t>【直接原因】
・screen_word_codeの使用ミスにより、タイトルが正しく表示されていません。
【根本原因】
・PT漏れ</t>
  </si>
  <si>
    <t>【直接原因に対する対応】
・タイトルが正しく表示されるため、screen_word_codeを修正しました。
【根本原因に対する対応】
・すべての使用している画面を確認します。
【横展開対応】
・エンゲージメントサーベイ比較検索画面, エンゲージメントサーベイ比較画面
【横展開した結果に対する対応】
・ エンゲージメントサーベイ比較検索画面, エンゲージメントサーベイ比較画面でタイトルが正しく表示されます。</t>
  </si>
  <si>
    <t>ABV</t>
  </si>
  <si>
    <t>PT</t>
  </si>
  <si>
    <t>2:PGミス</t>
  </si>
  <si>
    <t>21:PGﾐｽ(ｺｰﾃﾞｨﾝｸﾞﾐｽ)</t>
  </si>
  <si>
    <t/>
  </si>
  <si>
    <t>2:内容誤り</t>
  </si>
  <si>
    <t>B:修正漏れ</t>
  </si>
  <si>
    <t>Phat</t>
  </si>
  <si>
    <t>エンゲージメントサーベイ設定一括更新のエラーメッセージ誤り</t>
  </si>
  <si>
    <t xml:space="preserve">【操作手順】
テストNo：01-02-40
主キーのフィールドに空データがある状態で更新する (今回コースコード) → 一括更新 →　「チェック結果の詳細取得」ボタン押下 →　ログの最後の行にメッセージ確認
【期待値】
CSVファイル内の5つの主キーフィールドのデータを確認し、ログファイルに以下のエラーメッセージを記録する。
   不正:今回コースコードを指定してください。
【現象】
データインポート時にエラーが発生したが、異なるエラーメッセージが表示されました。
【メッセージ】
﻿不正:該当するエンゲージメントサーベイ設定情報が存在しません。
【テスト仕様】
画面：エンゲージメントサーベイ設定一括更新完了
権限：講師
</t>
  </si>
  <si>
    <t>エンゲージメントサーベイ設定一括更新</t>
  </si>
  <si>
    <t>エンゲージメントサーベイ設定一括チェック完了</t>
  </si>
  <si>
    <t>【直接原因】
・テスト予想結果の誤り。
【根本原因】
・エンゲージメントサーベイ設定一括更新の処理仕様の認識誤りのため。</t>
  </si>
  <si>
    <t xml:space="preserve">【直接原因に対する対応】
・テスト仕様書の予想結果を修正。
【根本原因に対する対応】
・設計書を再確認し、テストケースを再検討。
【横展開対応】
・対象機能（エンゲージメントサーベイ設定一括更新、エンゲージメントサーベイ設定参照、エンゲージメントサーベイ比較）の設計書を再確認して、テスト仕様書を見直す。
</t>
  </si>
  <si>
    <t>3:テスト準備ミス</t>
  </si>
  <si>
    <t>30:ﾃｽﾄ仕様ﾐｽ</t>
  </si>
  <si>
    <t>Q:提示条件の不具合</t>
  </si>
  <si>
    <t>Dat</t>
  </si>
  <si>
    <t>否</t>
  </si>
  <si>
    <t xml:space="preserve">【操作手順】
テストNo：01-02-41
主キーのフィールドに空データがある状態で更新する (今回アンケートID) → 一括更新 →　「チェック結果の詳細取得」ボタン押下 →　ログの最後の行にメッセージ確認
【期待値】
CSVファイル内の5つの主キーフィールドのデータを確認し、ログファイルに以下のエラーメッセージを記録する。
   不正:今回アンケートIDを指定してください。
【現象】
データインポート時にエラーが発生したが、異なるエラーメッセージが表示されました。
【メッセージ】
﻿不正:該当するエンゲージメントサーベイ設定情報が存在しません。
【テスト仕様】
画面：エンゲージメントサーベイ設定一括更新完了
権限：講師
</t>
  </si>
  <si>
    <t xml:space="preserve">【操作手順】
テストNo：01-02-42
主キーのフィールドに空データがある状態で更新する  (今回質問ID) → 一括更新 →　「チェック結果の詳細取得」ボタン押下 →　ログの最後の行にメッセージ確認
【期待値】
CSVファイル内の5つの主キーフィールドのデータを確認し、ログファイルに以下のエラーメッセージを記録する。
   不正:今回質問IDを指定してください。
【現象】
データインポート時にエラーが発生したが、異なるエラーメッセージが表示されました。
【メッセージ】
﻿不正:該当するエンゲージメントサーベイ設定情報が存在しません。
【テスト仕様】
画面：エンゲージメントサーベイ設定一括更新完了
権限：講師
</t>
  </si>
  <si>
    <t xml:space="preserve">【操作手順】
テストNo：01-02-43
主キーのフィールドに空データがある状態で更新する  (前回コースコード) → 一括更新 →　「チェック結果の詳細取得」ボタン押下 →　ログの最後の行にメッセージ確認
【期待値】
CSVファイル内の5つの主キーフィールドのデータを確認し、ログファイルに以下のエラーメッセージを記録する。
   不正:前回コースコードを指定してください。
【現象】
データインポート時にエラーが発生したが、異なるエラーメッセージが表示されました。
【メッセージ】
﻿不正:該当するエンゲージメントサーベイ設定情報が存在しません。
【テスト仕様】
画面：エンゲージメントサーベイ設定一括更新完了
権限：講師
</t>
  </si>
  <si>
    <t xml:space="preserve">【操作手順】
テストNo：01-02-44
主キーのフィールドに空データがある状態で更新する  (前回アンケートID) → 一括更新 →　「チェック結果の詳細取得」ボタン押下 →　ログの最後の行にメッセージ確認
【期待値】
CSVファイル内の5つの主キーフィールドのデータを確認し、ログファイルに以下のエラーメッセージを記録する。
   不正:前回アンケートIDを指定してください。
【現象】
データインポート時にエラーが発生したが、異なるエラーメッセージが表示されました。
【メッセージ】
﻿不正:該当するエンゲージメントサーベイ設定情報が存在しません。
【テスト仕様】
画面：エンゲージメントサーベイ設定一括更新完了
権限：講師
</t>
  </si>
  <si>
    <t xml:space="preserve">【操作手順】
テストNo：01-02-47
主キーのフィールドで許容文字数を超えるデータがある場合に削除する (今回コースコード) → 一括更新 →　「チェック結果の詳細取得」ボタン押下 →　ログの最後の行にメッセージ確認
【期待値】
CSVファイル内の5つの主キーフィールドのデータを確認し、ログファイルに以下のエラーメッセージを記録する。
   不正:今回コースコードを指定してください。
【現象】
データインポート時にエラーが発生したが、異なるエラーメッセージが表示されました。
【メッセージ】
﻿不正:該当するエンゲージメントサーベイ設定情報が存在しません。
【テスト仕様】
画面：エンゲージメントサーベイ設定一括更新完了
権限：講師
</t>
  </si>
  <si>
    <t xml:space="preserve">【操作手順】
テストNo：01-02-48
主キーのフィールドで許容文字数を超えるデータがある場合に削除する (今回アンケートID) → 一括更新 →　「チェック結果の詳細取得」ボタン押下 →　ログの最後の行にメッセージ確認
【期待値】
CSVファイル内の5つの主キーフィールドのデータを確認し、ログファイルに以下のエラーメッセージを記録する。
   不正:今回アンケートIDを指定してください。
【現象】
データインポート時にエラーが発生したが、異なるエラーメッセージが表示されました。
【メッセージ】
﻿不正:該当するエンゲージメントサーベイ設定情報が存在しません。
【テスト仕様】
画面：エンゲージメントサーベイ設定一括更新完了
権限：講師
</t>
  </si>
  <si>
    <t xml:space="preserve">【操作手順】
テストNo：01-02-49
主キーのフィールドで許容文字数を超えるデータがある場合に削除する (今回質問ID) → 一括更新 →　「チェック結果の詳細取得」ボタン押下 →　ログの最後の行にメッセージ確認
【期待値】
CSVファイル内の5つの主キーフィールドのデータを確認し、ログファイルに以下のエラーメッセージを記録する。
   不正:今回質問IDを指定してください。
【現象】
データインポート時にエラーが発生したが、異なるエラーメッセージが表示されました。
【メッセージ】
﻿不正:該当するエンゲージメントサーベイ設定情報が存在しません。
【テスト仕様】
画面：エンゲージメントサーベイ設定一括更新完了
権限：講師
</t>
  </si>
  <si>
    <t xml:space="preserve">【操作手順】
テストNo：01-02-50
主キーのフィールドで許容文字数を超えるデータがある場合に削除する (前回コースコード) → 一括更新 →　「チェック結果の詳細取得」ボタン押下 →　ログの最後の行にメッセージ確認
【期待値】
CSVファイル内の5つの主キーフィールドのデータを確認し、ログファイルに以下のエラーメッセージを記録する。
   不正:前回コースコードを指定してください。
【現象】
データインポート時にエラーが発生したが、異なるエラーメッセージが表示されました。
【メッセージ】
﻿不正:該当するエンゲージメントサーベイ設定情報が存在しません。
【テスト仕様】
画面：エンゲージメントサーベイ設定一括更新完了
権限：講師
</t>
  </si>
  <si>
    <t xml:space="preserve">【操作手順】
テストNo：01-02-51
主キーのフィールドで許容文字数を超えるデータがある場合に削除する (前回アンケートID) → 一括更新 →　「チェック結果の詳細取得」ボタン押下 →　ログの最後の行にメッセージ確認
【期待値】
CSVファイル内の5つの主キーフィールドのデータを確認し、ログファイルに以下のエラーメッセージを記録する。
   不正:前回アンケートIDを指定してください。
【現象】
データインポート時にエラーが発生したが、異なるエラーメッセージが表示されました。
【メッセージ】
﻿不正:該当するエンゲージメントサーベイ設定情報が存在しません。
【テスト仕様】
画面：エンゲージメントサーベイ設定一括更新完了
権限：講師
</t>
  </si>
  <si>
    <t xml:space="preserve">【操作手順】
テストNo：01-02-59
主キーのフィールドに空データがある状態で削除する (今回コースコード) → 一括更新 →　「チェック結果の詳細取得」ボタン押下 →　ログの最後の行にメッセージ確認
【期待値】
CSVファイル内の5つの主キーフィールドのデータを確認し、ログファイルに以下のエラーメッセージを記録する。
   不正:今回コースコードを指定してください。
【現象】
データインポート時にエラーが発生したが、異なるエラーメッセージが表示されました。
【メッセージ】
﻿不正:該当するエンゲージメントサーベイ設定情報が存在しません。
【テスト仕様】
画面：エンゲージメントサーベイ設定一括更新完了
権限：講師
</t>
  </si>
  <si>
    <t xml:space="preserve">【操作手順】
テストNo：01-02-60
主キーのフィールドに空データがある状態で削除する(今回アンケートID) → 一括更新 →　「チェック結果の詳細取得」ボタン押下 →　ログの最後の行にメッセージ確認
【期待値】
CSVファイル内の5つの主キーフィールドのデータを確認し、ログファイルに以下のエラーメッセージを記録する。
   不正:今回アンケートIDを指定してください。
【現象】
データインポート時にエラーが発生したが、異なるエラーメッセージが表示されました。
【メッセージ】
﻿不正:該当するエンゲージメントサーベイ設定情報が存在しません。
【テスト仕様】
画面：エンゲージメントサーベイ設定一括更新完了
権限：講師
</t>
  </si>
  <si>
    <t xml:space="preserve">【操作手順】
テストNo：01-02-61
主キーのフィールドに空データがある状態で削除する(今回質問ID) → 一括更新 →　「チェック結果の詳細取得」ボタン押下 →　ログの最後の行にメッセージ確認
【期待値】
CSVファイル内の5つの主キーフィールドのデータを確認し、ログファイルに以下のエラーメッセージを記録する。
   不正:今回質問IDを指定してください。
【現象】
データインポート時にエラーが発生したが、異なるエラーメッセージが表示されました。
【メッセージ】
﻿不正:該当するエンゲージメントサーベイ設定情報が存在しません。
【テスト仕様】
画面：エンゲージメントサーベイ設定一括更新完了
権限：講師
</t>
  </si>
  <si>
    <t xml:space="preserve">【操作手順】
テストNo：01-02-62
主キーのフィールドに空データがある状態で削除する(前回コースコード) → 一括更新 →　「チェック結果の詳細取得」ボタン押下 →　ログの最後の行にメッセージ確認
【期待値】
CSVファイル内の5つの主キーフィールドのデータを確認し、ログファイルに以下のエラーメッセージを記録する。
   不正:前回コースコードを指定してください。
【現象】
データインポート時にエラーが発生したが、異なるエラーメッセージが表示されました。
【メッセージ】
﻿不正:該当するエンゲージメントサーベイ設定情報が存在しません。
【テスト仕様】
画面：エンゲージメントサーベイ設定一括更新完了
権限：講師
</t>
  </si>
  <si>
    <t xml:space="preserve">【操作手順】
テストNo：01-02-63
主キーのフィールドに空データがある状態で削除する前回アンケートID) → 一括更新 →　「チェック結果の詳細取得」ボタン押下 →　ログの最後の行にメッセージ確認
【期待値】
CSVファイル内の5つの主キーフィールドのデータを確認し、ログファイルに以下のエラーメッセージを記録する。
   不正:前回アンケートIDを指定してください。
【現象】
データインポート時にエラーが発生したが、異なるエラーメッセージが表示されました。
【メッセージ】
﻿不正:該当するエンゲージメントサーベイ設定情報が存在しません。
【テスト仕様】
画面：エンゲージメントサーベイ設定一括更新完了
権限：講師
</t>
  </si>
  <si>
    <t xml:space="preserve">【操作手順】
テストNo：01-02-66
主キーのフィールドで許容文字数を超えるデータがある場合に削除する (今回コースコード) → 一括更新 →　「チェック結果の詳細取得」ボタン押下 →　ログの最後の行にメッセージ確認
【期待値】
CSVファイル内の5つの主キーフィールドのデータを確認し、ログファイルに以下のエラーメッセージを記録する。
   不正:今回コースコードを指定してください。
【現象】
データインポート時にエラーが発生したが、異なるエラーメッセージが表示されました。【メッセージ】
﻿不正:該当するエンゲージメントサーベイ設定情報が存在しません。
【テスト仕様】
画面：エンゲージメントサーベイ設定一括更新完了
権限：講師
</t>
  </si>
  <si>
    <t xml:space="preserve">【操作手順】
テストNo：01-02-67
主キーのフィールドで許容文字数を超えるデータがある場合に削除する (今回アンケートID) → 一括更新 →　「チェック結果の詳細取得」ボタン押下 →　ログの最後の行にメッセージ確認
【期待値】
CSVファイル内の5つの主キーフィールドのデータを確認し、ログファイルに以下のエラーメッセージを記録する。
   不正:今回アンケートIDを指定してください。
【現象】
データインポート時にエラーが発生したが、異なるエラーメッセージが表示されました。
【メッセージ】
﻿不正:該当するエンゲージメントサーベイ設定情報が存在しません。
【テスト仕様】
画面：エンゲージメントサーベイ設定一括更新完了
権限：講師
</t>
  </si>
  <si>
    <t xml:space="preserve">【操作手順】
テストNo：01-02-68
主キーのフィールドで許容文字数を超えるデータがある場合に削除する (今回質問ID) → 一括更新 →　「チェック結果の詳細取得」ボタン押下 →　ログの最後の行にメッセージ確認
【期待値】
CSVファイル内の5つの主キーフィールドのデータを確認し、ログファイルに以下のエラーメッセージを記録する。
   不正:今回質問IDを指定してください。
【現象】
データインポート時にエラーが発生したが、異なるエラーメッセージが表示されました。
【メッセージ】
﻿不正:該当するエンゲージメントサーベイ設定情報が存在しません。
【テスト仕様】
画面：エンゲージメントサーベイ設定一括更新完了
権限：講師
</t>
  </si>
  <si>
    <t xml:space="preserve">【操作手順】
テストNo：01-02-69
主キーのフィールドで許容文字数を超えるデータがある場合に削除する (前回コースコード) → 一括更新 →　「チェック結果の詳細取得」ボタン押下 →　ログの最後の行にメッセージ確認
【期待値】
CSVファイル内の5つの主キーフィールドのデータを確認し、ログファイルに以下のエラーメッセージを記録する。
   不正:前回コースコードを指定してください。
【現象】
データインポート時にエラーが発生したが、異なるエラーメッセージが表示されました。
【メッセージ】
﻿不正:該当するエンゲージメントサーベイ設定情報が存在しません。
【テスト仕様】
画面：エンゲージメントサーベイ設定一括更新完了
権限：講師
</t>
  </si>
  <si>
    <t xml:space="preserve">【操作手順】
テストNo：01-02-70
主キーのフィールドで許容文字数を超えるデータがある場合に削除する 前回アンケートID) → 一括更新 →　「チェック結果の詳細取得」ボタン押下 →　ログの最後の行にメッセージ確認
【期待値】
CSVファイル内の5つの主キーフィールドのデータを確認し、ログファイルに以下のエラーメッセージを記録する。
   不正:前回アンケートIDを指定してください。
【現象】
データインポート時にエラーが発生したが、異なるエラーメッセージが表示されました。
【メッセージ】
﻿不正:該当するエンゲージメントサーベイ設定情報が存在しません。
【テスト仕様】
画面：エンゲージメントサーベイ設定一括更新完了
権限：講師
</t>
  </si>
  <si>
    <t>安達</t>
  </si>
  <si>
    <t>エンゲージメントサーベイ比較の前回比の表示比較画面のメッセージ文言誤り</t>
  </si>
  <si>
    <t xml:space="preserve">【操作手順】
回答人数が0人の場合にエンゲージメントサーベイ比較画面を開く。
【期待値】
メッセージ「回答人数が0人のため、表示するデータがありません。」が表示される。
【現象】
異なるメッセージが表示される。
【メッセージ】
回答人数が0人であるため、表示するデータがありません。
【テスト仕様】
画面：エンゲージメントサーベイ比較
権限：管理者、講師
</t>
  </si>
  <si>
    <t>【直接原因】
多言語設定の修正漏れ。
【根本原因】
日本語対応の認識漏れ</t>
  </si>
  <si>
    <t>・多言語設定をする。
【横展開対応】
・すべての日本語設定を更新する。</t>
  </si>
  <si>
    <t>鈴木</t>
  </si>
  <si>
    <t>エンゲージメントサーベイ比較の前回比の表示誤り</t>
  </si>
  <si>
    <t xml:space="preserve">【操作手順】
エンゲージメントサーベイ比較画面を開く
【期待値】
前回比の表示は”↑XX”, "↓XX"となる
（表、詳細情報）
【現象】
詳細情報の前回比の表示が"+XX", "-XX"となっている。
【テスト仕様】
画面：エンゲージメントサーベイ比較
権限：すべて（管理者、グループ管理者、講師）
</t>
  </si>
  <si>
    <t xml:space="preserve">【直接原因】
設計書反映漏れ
【根本原因】
設計書反映漏れ
</t>
  </si>
  <si>
    <t>・画面の表示を”↑XX”、”↓XX”に変更する。
【横展開対応】
・CSVダウンロード処理も同様に修正する。</t>
  </si>
  <si>
    <t>前回アンケート結果の表示誤り（グループ管理者、回答人数5人未満）</t>
  </si>
  <si>
    <t xml:space="preserve">【操作手順】
データ：前回の全体の回答人数が5人未満のアンケート結果
エンゲージメントサーベイ比較画面を開く
【期待値】
表のうち、「前回」、「前回比」の設定値が”-"となる。
【現象】
回答人数が5人未満なのに「前回」、「前回比」の値が表示される。
【テスト仕様】
画面：エンゲージメントサーベイ比較
権限：グループ管理者
</t>
  </si>
  <si>
    <t>【直接原因】
・仕様の認識誤り。
【根本原因】
・開発者のコミュニケーションミス</t>
  </si>
  <si>
    <t>【直接原因に対する対応】
・回答人数(全体) &lt; 5の場合の確認を追加する
【根本原因に対する対応】
・ エンゲージメントサーベイ比較
【横展開対応】
・なし</t>
  </si>
  <si>
    <t>エンゲージメントサーベイ比較のCSVダウンロード結果誤り（グループ管理者、回答人数5人未満）</t>
  </si>
  <si>
    <t xml:space="preserve">【操作手順】
データ：前回の回答人数が5人未満のアンケート結果
エンゲージメントサーベイ比較画面を開く
CSVダウンロードボタンを押下する。
【期待値】
前回の回答人数が5人未満の場合は、「回答数(前回)」、「回答割合(前回)」、「前回比」が未入力
【現象】
「回答数(前回)」、「回答割合(前回)」、「前回比」が設定されている。
【テスト仕様】
画面：エンゲージメントサーベイ比較
権限：グループ管理者
</t>
  </si>
  <si>
    <t>【直接原因】
・設計書反映漏れ
【根本原因】
・詳細の仕様を確定できていなかった。（要件検討漏れ）</t>
  </si>
  <si>
    <t>【直接原因に対する対応】
・ダウンロード処理のCSVファイルに、前回の回答人数が5人未満の場合は、「回答数(前回)」、「回答割合(前回)」、「前回比」が未入力を修正しました。
【根本原因に対する対応】
・ エンゲージメントサーベイ比較
【横展開対応】
・なし</t>
  </si>
  <si>
    <t>エンゲージメントサーベイ設定一括更新完了画面の表示が間違っている（フランス語）</t>
  </si>
  <si>
    <t xml:space="preserve">【操作手順】
テストNo：03-05-01
「一括更新チェック」ボタンを押下する
エンゲージメントサーベイ設定一括更新完了画面に遷移
【期待値】
文言・レイアウトが崩れていない
【現象】
画面名とパンくずに表示されている画面名とタブののタイトルが間違っている
【メッセージ】
なし
【テスト仕様】
画面：エンゲージメントサーベイ設定一括更新完了
権限：講師
</t>
  </si>
  <si>
    <t>【直接原因】
誤ったscreen_word_code を割り当てたため、キーワードが正しく表示されませんでした。
【根本原因】
・作業ミス</t>
  </si>
  <si>
    <t>【直接原因に対する対応】
・正しく表示されるため、screen_word_codeの値を変更しました。
【根本原因に対する対応】
・新規追加した言葉をすべて確認します。
【横展開対応】
・メニュー画面の再確認</t>
  </si>
  <si>
    <t>今回と前回の回答人数が０件の場合、メッセージ表示誤り
（管理者、講師）</t>
  </si>
  <si>
    <t xml:space="preserve">【操作手順】
データ：前回のすべての回答人数と今回のすべての回答人数は１人以上
エンゲージメントサーベイ比較画面を開く
【期待値】
今回のすべての回答人数は０人の場合、以下のエラーメッセージ表示される。
回答人数が0人のため、表示するデータがありません。
【現象】
回答人数は０人のメッセージが表示されない
【テスト仕様】
画面：エンゲージメントサーベイ比較
権限：管理者、講師、グループ管理者
</t>
  </si>
  <si>
    <t>【直接原因】
・設計書反映漏れ
【根本原因】
・仕様検討漏れ</t>
  </si>
  <si>
    <t>【直接原因に対する対応】
・今回の回答人数は０人の場合のみ、メッセージ表示される
【根本原因に対する対応】
・ エンゲージメントサーベイ比較
【横展開対応】
・なし</t>
  </si>
  <si>
    <t>前回と今回の回答の件数が同じではない場合、平均点数を計算できない
（管理者、講師、グループ管理者）</t>
  </si>
  <si>
    <t xml:space="preserve">【操作手順】
データ：今回と前回の回答の件数が異なっている。
エンゲージメントサーベイ比較画面を開く
【期待値】
比較データが表示されます。
【現象】
比較データが'0'となっている。
【テスト仕様】
画面：エンゲージメントサーベイ比較
権限：管理者、講師、グループ管理者
</t>
  </si>
  <si>
    <t xml:space="preserve">【直接原因】
・比較元と比較先の質問の選択肢の数が異なることを想定していないため。
【根本原因】
・既存バグ
</t>
  </si>
  <si>
    <t>1次開発では対応しない。</t>
  </si>
  <si>
    <t>中村</t>
  </si>
  <si>
    <t>9:非エラー</t>
  </si>
  <si>
    <t>90:仕様通り(仕様変更の候補)</t>
  </si>
  <si>
    <t>99:その他</t>
  </si>
  <si>
    <t>R:現行潜在バグ</t>
  </si>
  <si>
    <t>【操作手順】
【期待値】
【現象】
【メッセージ】
【テスト仕様】</t>
  </si>
  <si>
    <t>【直接原因】
【根本原因】</t>
  </si>
  <si>
    <t>最終行です。削除しないでください。行操作は、この行より前で行ってください。行挿入は禁止。複写挿入を使ってください。</t>
  </si>
  <si>
    <t>表示項目設定</t>
  </si>
  <si>
    <t>目的</t>
  </si>
  <si>
    <t>障害票一覧の表示項目を設定します。入力を省略したい項目や印刷から一時的に省きたい項目がある場合にお使いください。</t>
  </si>
  <si>
    <t>使用方法</t>
  </si>
  <si>
    <t>非表示にしたい項目は 「x」 を入力して、設定反映ボタンを押してください。すべての項目を表示する場合は、設定解除ボタンを押してください。</t>
  </si>
  <si>
    <t>発生日</t>
  </si>
  <si>
    <t>（必須）</t>
  </si>
  <si>
    <t>会社名</t>
  </si>
  <si>
    <t>担当者</t>
  </si>
  <si>
    <t>工程</t>
  </si>
  <si>
    <t>ケース番号</t>
  </si>
  <si>
    <t>コード表!B3:B5</t>
  </si>
  <si>
    <t>コード表!D3:D12</t>
  </si>
  <si>
    <t>コード表!F3:F12</t>
  </si>
  <si>
    <t>コード表!H3:H9</t>
  </si>
  <si>
    <t>コード表!J3:J11</t>
  </si>
  <si>
    <t>コード表!L3:L20</t>
  </si>
  <si>
    <t>コード表!N3:N12</t>
  </si>
  <si>
    <t>コード表!P3:P22</t>
  </si>
  <si>
    <t>コード表!R3:R13</t>
  </si>
  <si>
    <t>コード表!T3:T102</t>
  </si>
  <si>
    <t>コード表!V3:V15</t>
  </si>
  <si>
    <t>PWaaS管理メニューをご利用の方</t>
  </si>
  <si>
    <t>FLM</t>
  </si>
  <si>
    <t>業務続行不可</t>
  </si>
  <si>
    <t>大至急</t>
  </si>
  <si>
    <t>RD</t>
  </si>
  <si>
    <t>1:内容漏れ</t>
  </si>
  <si>
    <t>A:検討不足</t>
  </si>
  <si>
    <t>IT-01-001</t>
  </si>
  <si>
    <t>01</t>
  </si>
  <si>
    <t xml:space="preserve">    PWaaS管理メニューで設定後、反映してください。</t>
  </si>
  <si>
    <t>頻度多</t>
  </si>
  <si>
    <t>至急</t>
  </si>
  <si>
    <t>UI</t>
  </si>
  <si>
    <t>IT-01-002</t>
  </si>
  <si>
    <t>02</t>
  </si>
  <si>
    <t>PT受入</t>
  </si>
  <si>
    <t xml:space="preserve">    なお、PWaaS管理メニューで設定される項目は、「会社名」「担当者名」「工程」です。</t>
  </si>
  <si>
    <t>北川</t>
  </si>
  <si>
    <t>頻度少</t>
  </si>
  <si>
    <t>回避可能</t>
  </si>
  <si>
    <t>SS</t>
  </si>
  <si>
    <t>3:記述曖昧/不備</t>
  </si>
  <si>
    <t>C:修正誤り</t>
  </si>
  <si>
    <t>IT-01-003</t>
  </si>
  <si>
    <t>03</t>
  </si>
  <si>
    <r>
      <rPr>
        <sz val="11"/>
        <color rgb="FFFF0000"/>
        <rFont val="Meiryo UI"/>
        <family val="3"/>
        <charset val="128"/>
      </rPr>
      <t xml:space="preserve">    </t>
    </r>
    <r>
      <rPr>
        <b/>
        <sz val="11"/>
        <color rgb="FFFF0000"/>
        <rFont val="Meiryo UI"/>
        <family val="3"/>
        <charset val="128"/>
      </rPr>
      <t>【留意事項】</t>
    </r>
  </si>
  <si>
    <t>Ngan</t>
  </si>
  <si>
    <t>特定端末</t>
  </si>
  <si>
    <t>影響度小</t>
  </si>
  <si>
    <t>明日まで</t>
  </si>
  <si>
    <t>PS</t>
  </si>
  <si>
    <t>4:仕様間不整合</t>
  </si>
  <si>
    <t>D:提示条件の確認不足</t>
  </si>
  <si>
    <t>IT-01-004</t>
  </si>
  <si>
    <t>04</t>
  </si>
  <si>
    <t>IT2</t>
  </si>
  <si>
    <t xml:space="preserve">        ・「会社名」「担当者名」「工程」を追加、変更した場合、正しく集計されない場合があります。</t>
  </si>
  <si>
    <t>一時期</t>
  </si>
  <si>
    <t>２～３日中</t>
  </si>
  <si>
    <t>PG</t>
  </si>
  <si>
    <t>5:共通仕様違反</t>
  </si>
  <si>
    <t>E:影響確認漏れ</t>
  </si>
  <si>
    <t>IT-01-005</t>
  </si>
  <si>
    <t>05</t>
  </si>
  <si>
    <t>IT3</t>
  </si>
  <si>
    <t xml:space="preserve">        ・「シナリオID」「ケース番号」はテスト仕様書と一致させてください。</t>
  </si>
  <si>
    <t>一定周期</t>
  </si>
  <si>
    <t>該当なし</t>
  </si>
  <si>
    <t>一週間以内</t>
  </si>
  <si>
    <t>6:記述冗長/不統一</t>
  </si>
  <si>
    <t>F:関連機能の確認不足</t>
  </si>
  <si>
    <t>IT-01-006</t>
  </si>
  <si>
    <t>06</t>
  </si>
  <si>
    <t>IT4</t>
  </si>
  <si>
    <t>PWaaS管理メニューを利用されない方</t>
  </si>
  <si>
    <t>一回だけ</t>
  </si>
  <si>
    <t>7:環境設定誤り</t>
  </si>
  <si>
    <t>G:ノウハウ不足</t>
  </si>
  <si>
    <t>IT-01-007</t>
  </si>
  <si>
    <t>07</t>
  </si>
  <si>
    <t>IT5</t>
  </si>
  <si>
    <r>
      <rPr>
        <b/>
        <sz val="11"/>
        <color rgb="FF000000"/>
        <rFont val="Meiryo UI"/>
        <family val="3"/>
        <charset val="128"/>
      </rPr>
      <t xml:space="preserve">   </t>
    </r>
    <r>
      <rPr>
        <sz val="11"/>
        <color rgb="FF000000"/>
        <rFont val="Meiryo UI"/>
        <family val="3"/>
        <charset val="128"/>
      </rPr>
      <t xml:space="preserve"> 【記入方法】</t>
    </r>
  </si>
  <si>
    <t>8:リリース誤り</t>
  </si>
  <si>
    <t>H:単純ミス</t>
  </si>
  <si>
    <t>IT-01-008</t>
  </si>
  <si>
    <t>08</t>
  </si>
  <si>
    <t>ST</t>
  </si>
  <si>
    <t xml:space="preserve">        ・左記の表で行が不足する場合は行挿入してください。</t>
  </si>
  <si>
    <t>I:標準化/規約違反</t>
  </si>
  <si>
    <t>IT-01-009</t>
  </si>
  <si>
    <t>09</t>
  </si>
  <si>
    <t>ST2</t>
  </si>
  <si>
    <t xml:space="preserve">        ・入力後は必ず「設定の反映」ボタンを押してください。</t>
  </si>
  <si>
    <t>J:標準化/規約不足</t>
  </si>
  <si>
    <t>IT-01-010</t>
  </si>
  <si>
    <t>10</t>
  </si>
  <si>
    <t>ST3</t>
  </si>
  <si>
    <t>K:周知連絡不徹底</t>
  </si>
  <si>
    <t>11</t>
  </si>
  <si>
    <t>ST4</t>
  </si>
  <si>
    <r>
      <rPr>
        <b/>
        <sz val="11"/>
        <color rgb="FFFF0000"/>
        <rFont val="Meiryo UI"/>
        <family val="3"/>
        <charset val="128"/>
      </rPr>
      <t xml:space="preserve">   </t>
    </r>
    <r>
      <rPr>
        <sz val="11"/>
        <color rgb="FFFF0000"/>
        <rFont val="Meiryo UI"/>
        <family val="3"/>
        <charset val="128"/>
      </rPr>
      <t xml:space="preserve">     ・行挿入可能な行は、ヘッダ行～最終行の前行までです。</t>
    </r>
  </si>
  <si>
    <t>L:機器・製品不良</t>
  </si>
  <si>
    <t>12</t>
  </si>
  <si>
    <t>ST5</t>
  </si>
  <si>
    <t xml:space="preserve">        ・列の変更を行わないでください。</t>
  </si>
  <si>
    <t>M:環境設定不備</t>
  </si>
  <si>
    <t>13</t>
  </si>
  <si>
    <t xml:space="preserve">        ・「シナリオID」「ケース番号」はテスト仕様書と一致させてください</t>
  </si>
  <si>
    <t>N:テスト運用ミス</t>
  </si>
  <si>
    <t>14</t>
  </si>
  <si>
    <t>O:オペミス</t>
  </si>
  <si>
    <t>15</t>
  </si>
  <si>
    <t>P:提示条件の変更</t>
  </si>
  <si>
    <t>16</t>
  </si>
  <si>
    <t>17</t>
  </si>
  <si>
    <t>18</t>
  </si>
  <si>
    <t>Z:その他</t>
  </si>
  <si>
    <t>19</t>
  </si>
  <si>
    <t>20</t>
  </si>
  <si>
    <t>最終行です。</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</si>
  <si>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</si>
  <si>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</si>
  <si>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</si>
  <si>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</si>
  <si>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</si>
  <si>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</si>
  <si>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</si>
  <si>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</si>
  <si>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</si>
  <si>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</si>
  <si>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</si>
  <si>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</si>
  <si>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</si>
  <si>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</si>
  <si>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</si>
  <si>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</si>
  <si>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</si>
  <si>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</si>
  <si>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</si>
  <si>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</si>
  <si>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</si>
  <si>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</si>
  <si>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</si>
  <si>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</si>
  <si>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</si>
  <si>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</si>
  <si>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</si>
  <si>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</si>
  <si>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</si>
  <si>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</si>
  <si>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</si>
  <si>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</si>
  <si>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</si>
  <si>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</si>
  <si>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</si>
  <si>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</si>
  <si>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</si>
  <si>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</si>
  <si>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</si>
  <si>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</si>
  <si>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</si>
  <si>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</si>
  <si>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</si>
  <si>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</si>
  <si>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</si>
  <si>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</si>
  <si>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</si>
  <si>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</si>
  <si>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</si>
  <si>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</si>
  <si>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</si>
  <si>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</si>
  <si>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</si>
  <si>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</si>
  <si>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</si>
  <si>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</si>
  <si>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</si>
  <si>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</si>
  <si>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</si>
  <si>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</si>
  <si>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</si>
  <si>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</si>
  <si>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</si>
  <si>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</si>
  <si>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</si>
  <si>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</si>
  <si>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</si>
  <si>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</si>
  <si>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</si>
  <si>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</si>
  <si>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</si>
  <si>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</si>
  <si>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</si>
  <si>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</si>
  <si>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</si>
  <si>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</si>
  <si>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</si>
  <si>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</si>
  <si>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</si>
  <si>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原因分類/原因区分/原因区分詳細一覧</t>
  </si>
  <si>
    <t>※選択したい行をダブルクリックしてください。</t>
  </si>
  <si>
    <t>Lv1</t>
  </si>
  <si>
    <t>Lv2</t>
  </si>
  <si>
    <t>Lv3</t>
  </si>
  <si>
    <t>原因区分内容説明</t>
  </si>
  <si>
    <t>原因区分詳細内容説明</t>
  </si>
  <si>
    <t>(開始行)</t>
  </si>
  <si>
    <t>1:設計ミス</t>
  </si>
  <si>
    <t>10:方式設計ﾐｽ</t>
  </si>
  <si>
    <t xml:space="preserve">システム方式仕様に関する設計ミス(性能/セキュリティ対策、エラー制御等) </t>
  </si>
  <si>
    <t>11:ｲﾝﾀｰﾌｪｰｽ設計ﾐｽ</t>
  </si>
  <si>
    <t xml:space="preserve">関連する外部システムもしくはサブシステム内のインターフェースに関する設計ミス </t>
  </si>
  <si>
    <t>12:DB/ﾌｧｲﾙ設計ﾐｽ</t>
  </si>
  <si>
    <t xml:space="preserve">DB構造、ファイル構造、インデックス・リンクなどに関する設計仕様ミス </t>
  </si>
  <si>
    <t>13:ｼｽﾃﾑ機能(画面/帳票/ﾊﾞｯﾁ)設計ﾐｽ</t>
  </si>
  <si>
    <t>画面/帳票/バッチの項目過不足、レイアウト設計ミス、項目間の関連チェックミスなど</t>
  </si>
  <si>
    <t xml:space="preserve">         ・入力項目を追加、変更した場合、正しく集計されない場合があります。</t>
  </si>
  <si>
    <t>14:共通部品設計ﾐｽ</t>
  </si>
  <si>
    <t>システム共通部品、業務共通部品などに関する設計仕様ミス</t>
  </si>
  <si>
    <t>20:ﾛｼﾞｯｸﾐｽ(論理ﾐｽ)</t>
  </si>
  <si>
    <t xml:space="preserve">プログラムロジックの論理的誤り（構造設計の誤りは「方式設計ミス」） </t>
  </si>
  <si>
    <t>実装におけるコーディングミス・軽微なロジックミス</t>
  </si>
  <si>
    <t>22:PGﾐｽ(SQL文不備)</t>
  </si>
  <si>
    <t>実装におけるSQL文の不備、もしくはSQL文による性能問題</t>
  </si>
  <si>
    <t>23:PGﾐｽ(共通規約違反)</t>
  </si>
  <si>
    <t>実装における共通規約違反</t>
  </si>
  <si>
    <t>24:ﾃﾞｨｸﾞﾚｰﾄﾞ(修正誤り)</t>
  </si>
  <si>
    <t>影響範囲調査不足などによるPGの改修ミス</t>
  </si>
  <si>
    <t xml:space="preserve">        ・列の変更を行わないでください</t>
  </si>
  <si>
    <t xml:space="preserve">テストケースモレ、もしくはテスト仕様の内容・条件が誤っていたなどテスト仕様作成ミス </t>
  </si>
  <si>
    <t>31:ﾃｽﾄﾃﾞｰﾀﾐｽ</t>
  </si>
  <si>
    <t xml:space="preserve">テストデータの設定ミス（データ不整合、NULLデータ設定など）  </t>
  </si>
  <si>
    <t>4:作業ミス</t>
  </si>
  <si>
    <t>40:ｵﾍﾟﾚｰｼｮﾝﾐｽ</t>
  </si>
  <si>
    <t>オペレーションミス（誤操作、手順ミスなど）</t>
  </si>
  <si>
    <t>41:環境設定ﾐｽ</t>
  </si>
  <si>
    <t>リポジトリ登録ミスや、機器/OS/PP/ネットワーク/DB等の環境設定ミス</t>
  </si>
  <si>
    <t>42:構成管理/ﾘﾘｰｽﾐｽ</t>
  </si>
  <si>
    <t>各種資産構成管理ミス、リリースミス</t>
  </si>
  <si>
    <t>5:製品障害</t>
  </si>
  <si>
    <t>50:製品障害(機器,OS,ﾐﾄﾞﾙ,PKG,ﾈｯﾄﾜｰｸ等)</t>
  </si>
  <si>
    <t>適用製品の障害（機器、OS、ミドル、PKG、ネットワーク等）</t>
  </si>
  <si>
    <t>6:その他</t>
  </si>
  <si>
    <t>60:その他</t>
  </si>
  <si>
    <t>上記以外の障害や問題　※基本的に使用しないこと</t>
  </si>
  <si>
    <t>8:再現待ち</t>
  </si>
  <si>
    <t>80:原因不明(再現待ち)</t>
  </si>
  <si>
    <t>原因を特定するために必要な情報が不足している。また、再現性がない。</t>
  </si>
  <si>
    <t>仕様通りの動作（障害ではない）　※仕様変更は当区分でクローズ⇒仕様変更管理へ</t>
  </si>
  <si>
    <t>91:重複(既障害)</t>
  </si>
  <si>
    <t>すでに検出された障害と同一のもの</t>
  </si>
  <si>
    <t>※最終行です。削除しないでください。行を挿入する場合は、この行より上で実施してください。</t>
  </si>
  <si>
    <t>業務プロセス名</t>
  </si>
  <si>
    <t>プロセス名</t>
  </si>
  <si>
    <t>A</t>
  </si>
  <si>
    <t>A01</t>
  </si>
  <si>
    <t>A01001</t>
  </si>
  <si>
    <t>A01002</t>
  </si>
  <si>
    <t>A01003</t>
  </si>
  <si>
    <t>A02</t>
  </si>
  <si>
    <t>A02001</t>
  </si>
  <si>
    <t>A02002</t>
  </si>
  <si>
    <t>A02003</t>
  </si>
  <si>
    <t>A03</t>
  </si>
  <si>
    <t>A03001</t>
  </si>
  <si>
    <t>A03002</t>
  </si>
  <si>
    <t>A03003</t>
  </si>
  <si>
    <t>C</t>
  </si>
  <si>
    <t>C01</t>
  </si>
  <si>
    <t>C01001</t>
  </si>
  <si>
    <t>C01002</t>
  </si>
  <si>
    <t xml:space="preserve">        ・列の変更を行わないでください。 </t>
  </si>
  <si>
    <t>C01003</t>
  </si>
  <si>
    <t>C02</t>
  </si>
  <si>
    <t>C02001</t>
  </si>
  <si>
    <t>C02002</t>
  </si>
  <si>
    <t>C02003</t>
  </si>
  <si>
    <t>C03</t>
  </si>
  <si>
    <t>C03001</t>
  </si>
  <si>
    <t>C03002</t>
  </si>
  <si>
    <t>プロセス!D3:D5</t>
  </si>
  <si>
    <t>プロセス!G3:G5</t>
  </si>
  <si>
    <t>AA01</t>
  </si>
  <si>
    <t>プロセス!K3:K5</t>
  </si>
  <si>
    <t>エンゲージメントサーベイ設定参照</t>
  </si>
  <si>
    <t>エンゲージメントサーベイ設定一括更新完了</t>
  </si>
  <si>
    <t>プロセス!G6:G6</t>
  </si>
  <si>
    <t>AA02</t>
  </si>
  <si>
    <t>プロセス!K6:K8</t>
  </si>
  <si>
    <t>プロセス!G7:G8</t>
  </si>
  <si>
    <t>AA03</t>
  </si>
  <si>
    <t>プロセス!K9:K11</t>
  </si>
  <si>
    <t>CC01</t>
  </si>
  <si>
    <t>プロセス!K12:K14</t>
  </si>
  <si>
    <t>CC02</t>
  </si>
  <si>
    <t>プロセス!K15:K17</t>
  </si>
  <si>
    <t>CC03</t>
  </si>
  <si>
    <t>プロセス!K18:K19</t>
  </si>
  <si>
    <t>PWaaS進捗・品質管理テンプレート バージョン情報</t>
  </si>
  <si>
    <t>ドキュメント</t>
  </si>
  <si>
    <t>バージョン</t>
  </si>
  <si>
    <t>V5.4</t>
  </si>
  <si>
    <t>リビジョン</t>
  </si>
  <si>
    <t>1:設計ミス</t>
    <phoneticPr fontId="38"/>
  </si>
  <si>
    <t>13:ｼｽﾃﾑ機能(画面/帳票/ﾊﾞｯﾁ)設計ﾐｽ</t>
    <phoneticPr fontId="38"/>
  </si>
  <si>
    <t>2:PGミス</t>
    <phoneticPr fontId="38"/>
  </si>
  <si>
    <t>20:ﾛｼﾞｯｸﾐｽ(論理ﾐｽ)</t>
    <phoneticPr fontId="3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</si>
</sst>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_(&quot;$&quot;* #,##0_);_(&quot;$&quot;* \(#,##0\);_(&quot;$&quot;* &quot;-&quot;_);_(@_)"/>
    <numFmt numFmtId="177" formatCode="_(* #,##0_);_(* \(#,##0\);_(* &quot;-&quot;_);_(@_)"/>
    <numFmt numFmtId="178" formatCode="_(&quot;$&quot;* #,##0.00_);_(&quot;$&quot;* \(#,##0.00\);_(&quot;$&quot;* &quot;-&quot;??_);_(@_)"/>
    <numFmt numFmtId="179" formatCode="_(* #,##0.00_);_(* \(#,##0.00\);_(* &quot;-&quot;??_);_(@_)"/>
    <numFmt numFmtId="180" formatCode="#,##0;\-#,##0;&quot;-&quot;"/>
    <numFmt numFmtId="181" formatCode="0_ "/>
    <numFmt numFmtId="182" formatCode="0_);[Red]\(0\)"/>
    <numFmt numFmtId="183" formatCode="m/d;@"/>
  </numFmts>
  <fonts count="39" x14ac:knownFonts="1">
    <font>
      <sz val="11"/>
      <color theme="1"/>
      <name val="ＭＳ Ｐゴシック"/>
      <charset val="128"/>
      <scheme val="minor"/>
    </font>
    <font>
      <sz val="11"/>
      <name val="Meiryo UI"/>
      <family val="3"/>
      <charset val="128"/>
    </font>
    <font>
      <b/>
      <sz val="14"/>
      <name val="Meiryo UI"/>
      <family val="3"/>
      <charset val="128"/>
    </font>
    <font>
      <sz val="11"/>
      <color theme="1"/>
      <name val="Meiryo UI"/>
      <family val="3"/>
      <charset val="128"/>
    </font>
    <font>
      <sz val="11"/>
      <color rgb="FF0070C0"/>
      <name val="Meiryo UI"/>
      <family val="3"/>
      <charset val="128"/>
    </font>
    <font>
      <b/>
      <sz val="11"/>
      <name val="Meiryo UI"/>
      <family val="3"/>
      <charset val="128"/>
    </font>
    <font>
      <b/>
      <sz val="11"/>
      <color indexed="10"/>
      <name val="Meiryo UI"/>
      <family val="3"/>
      <charset val="128"/>
    </font>
    <font>
      <b/>
      <sz val="12"/>
      <color theme="0"/>
      <name val="Meiryo UI"/>
      <family val="3"/>
      <charset val="128"/>
    </font>
    <font>
      <b/>
      <sz val="11"/>
      <color rgb="FF000000"/>
      <name val="Meiryo UI"/>
      <family val="3"/>
      <charset val="128"/>
    </font>
    <font>
      <sz val="11"/>
      <color rgb="FF000000"/>
      <name val="Meiryo UI"/>
      <family val="3"/>
      <charset val="128"/>
    </font>
    <font>
      <sz val="11"/>
      <color rgb="FFFF0000"/>
      <name val="Meiryo UI"/>
      <family val="3"/>
      <charset val="128"/>
    </font>
    <font>
      <b/>
      <sz val="11"/>
      <color rgb="FFFF0000"/>
      <name val="Meiryo UI"/>
      <family val="3"/>
      <charset val="128"/>
    </font>
    <font>
      <b/>
      <i/>
      <sz val="11"/>
      <name val="Meiryo UI"/>
      <family val="3"/>
      <charset val="128"/>
    </font>
    <font>
      <u/>
      <sz val="11"/>
      <name val="Meiryo UI"/>
      <family val="3"/>
      <charset val="128"/>
    </font>
    <font>
      <b/>
      <sz val="11"/>
      <color theme="1"/>
      <name val="Meiryo UI"/>
      <family val="3"/>
      <charset val="128"/>
    </font>
    <font>
      <b/>
      <sz val="16"/>
      <color theme="1"/>
      <name val="Meiryo UI"/>
      <family val="3"/>
      <charset val="128"/>
    </font>
    <font>
      <sz val="9"/>
      <color theme="1"/>
      <name val="Meiryo UI"/>
      <family val="3"/>
      <charset val="128"/>
    </font>
    <font>
      <b/>
      <sz val="16"/>
      <color theme="0"/>
      <name val="Meiryo UI"/>
      <family val="3"/>
      <charset val="128"/>
    </font>
    <font>
      <sz val="10"/>
      <color theme="1"/>
      <name val="Meiryo UI"/>
      <family val="3"/>
      <charset val="128"/>
    </font>
    <font>
      <u/>
      <sz val="10"/>
      <color theme="10"/>
      <name val="Meiryo UI"/>
      <family val="3"/>
      <charset val="128"/>
    </font>
    <font>
      <sz val="10"/>
      <color rgb="FFFF0000"/>
      <name val="Meiryo UI"/>
      <family val="3"/>
      <charset val="128"/>
    </font>
    <font>
      <b/>
      <sz val="9"/>
      <name val="Meiryo UI"/>
      <family val="3"/>
      <charset val="128"/>
    </font>
    <font>
      <sz val="9"/>
      <name val="Meiryo UI"/>
      <family val="3"/>
      <charset val="128"/>
    </font>
    <font>
      <b/>
      <sz val="11"/>
      <color theme="1"/>
      <name val="ＭＳ Ｐゴシック"/>
      <family val="2"/>
      <scheme val="minor"/>
    </font>
    <font>
      <u/>
      <sz val="11"/>
      <color theme="10"/>
      <name val="ＭＳ Ｐゴシック"/>
      <family val="2"/>
      <scheme val="minor"/>
    </font>
    <font>
      <sz val="10"/>
      <color indexed="8"/>
      <name val="Arial"/>
      <family val="2"/>
    </font>
    <font>
      <b/>
      <sz val="12"/>
      <name val="Arial"/>
      <family val="2"/>
    </font>
    <font>
      <sz val="11"/>
      <name val="ＭＳ ゴシック"/>
      <family val="3"/>
      <charset val="128"/>
    </font>
    <font>
      <sz val="11"/>
      <color indexed="8"/>
      <name val="ＭＳ Ｐゴシック"/>
      <family val="3"/>
      <charset val="128"/>
    </font>
    <font>
      <sz val="11"/>
      <name val="ＭＳ Ｐゴシック"/>
      <family val="3"/>
      <charset val="128"/>
    </font>
    <font>
      <sz val="10"/>
      <name val="ＭＳ ゴシック"/>
      <family val="3"/>
      <charset val="128"/>
    </font>
    <font>
      <sz val="11"/>
      <color theme="1"/>
      <name val="ＭＳ Ｐゴシック"/>
      <family val="2"/>
      <scheme val="minor"/>
    </font>
    <font>
      <sz val="10"/>
      <color theme="1"/>
      <name val="ＭＳ ゴシック"/>
      <family val="3"/>
      <charset val="128"/>
    </font>
    <font>
      <sz val="10"/>
      <name val="ＭＳ Ｐゴシック"/>
      <family val="3"/>
      <charset val="128"/>
    </font>
    <font>
      <b/>
      <sz val="9"/>
      <color rgb="FFFF0000"/>
      <name val="Meiryo UI"/>
      <family val="3"/>
      <charset val="128"/>
    </font>
    <font>
      <b/>
      <sz val="9"/>
      <name val="ＭＳ Ｐゴシック"/>
      <family val="3"/>
      <charset val="128"/>
    </font>
    <font>
      <b/>
      <sz val="14"/>
      <color rgb="FF000000"/>
      <name val="Meiryo UI"/>
      <family val="3"/>
      <charset val="128"/>
    </font>
    <font>
      <sz val="9"/>
      <name val="Meiryo UI"/>
      <family val="3"/>
      <charset val="128"/>
    </font>
    <font>
      <sz val="6"/>
      <name val="ＭＳ Ｐゴシック"/>
      <family val="3"/>
      <charset val="128"/>
      <scheme val="minor"/>
    </font>
  </fonts>
  <fills count="13">
    <fill>
      <patternFill patternType="none"/>
    </fill>
    <fill>
      <patternFill patternType="gray125"/>
    </fill>
    <fill>
      <patternFill patternType="solid">
        <fgColor theme="0"/>
        <bgColor indexed="64"/>
      </patternFill>
    </fill>
    <fill>
      <patternFill patternType="solid">
        <fgColor rgb="FFCCCCFF"/>
        <bgColor indexed="64"/>
      </patternFill>
    </fill>
    <fill>
      <patternFill patternType="solid">
        <fgColor rgb="FFE0E0FF"/>
        <bgColor indexed="64"/>
      </patternFill>
    </fill>
    <fill>
      <patternFill patternType="solid">
        <fgColor rgb="FFCCFFE0"/>
        <bgColor indexed="64"/>
      </patternFill>
    </fill>
    <fill>
      <patternFill patternType="solid">
        <fgColor rgb="FFFF0000"/>
        <bgColor indexed="64"/>
      </patternFill>
    </fill>
    <fill>
      <patternFill patternType="solid">
        <fgColor rgb="FFF0FFFF"/>
        <bgColor indexed="64"/>
      </patternFill>
    </fill>
    <fill>
      <patternFill patternType="solid">
        <fgColor rgb="FF000099"/>
        <bgColor indexed="64"/>
      </patternFill>
    </fill>
    <fill>
      <patternFill patternType="solid">
        <fgColor rgb="FFFFFF99"/>
        <bgColor indexed="64"/>
      </patternFill>
    </fill>
    <fill>
      <patternFill patternType="solid">
        <fgColor theme="5" tint="0.79989013336588644"/>
        <bgColor indexed="64"/>
      </patternFill>
    </fill>
    <fill>
      <patternFill patternType="solid">
        <fgColor theme="3" tint="0.79989013336588644"/>
        <bgColor indexed="64"/>
      </patternFill>
    </fill>
    <fill>
      <patternFill patternType="solid">
        <fgColor theme="0" tint="-0.249977111117893"/>
        <bgColor indexed="64"/>
      </patternFill>
    </fill>
  </fills>
  <borders count="39">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hair">
        <color auto="1"/>
      </bottom>
      <diagonal/>
    </border>
    <border>
      <left style="thin">
        <color auto="1"/>
      </left>
      <right/>
      <top style="thin">
        <color auto="1"/>
      </top>
      <bottom style="hair">
        <color auto="1"/>
      </bottom>
      <diagonal/>
    </border>
    <border>
      <left/>
      <right/>
      <top style="thin">
        <color auto="1"/>
      </top>
      <bottom style="hair">
        <color auto="1"/>
      </bottom>
      <diagonal/>
    </border>
    <border>
      <left style="thin">
        <color auto="1"/>
      </left>
      <right style="thin">
        <color auto="1"/>
      </right>
      <top/>
      <bottom style="thin">
        <color auto="1"/>
      </bottom>
      <diagonal/>
    </border>
    <border>
      <left style="thin">
        <color auto="1"/>
      </left>
      <right/>
      <top/>
      <bottom style="thin">
        <color auto="1"/>
      </bottom>
      <diagonal/>
    </border>
    <border>
      <left style="hair">
        <color auto="1"/>
      </left>
      <right style="hair">
        <color auto="1"/>
      </right>
      <top style="hair">
        <color auto="1"/>
      </top>
      <bottom style="thin">
        <color auto="1"/>
      </bottom>
      <diagonal/>
    </border>
    <border>
      <left style="thin">
        <color auto="1"/>
      </left>
      <right style="hair">
        <color auto="1"/>
      </right>
      <top style="hair">
        <color auto="1"/>
      </top>
      <bottom style="thin">
        <color auto="1"/>
      </bottom>
      <diagonal/>
    </border>
    <border>
      <left/>
      <right style="thin">
        <color auto="1"/>
      </right>
      <top/>
      <bottom style="thin">
        <color auto="1"/>
      </bottom>
      <diagonal/>
    </border>
    <border>
      <left style="hair">
        <color auto="1"/>
      </left>
      <right style="hair">
        <color auto="1"/>
      </right>
      <top style="thin">
        <color auto="1"/>
      </top>
      <bottom style="hair">
        <color auto="1"/>
      </bottom>
      <diagonal/>
    </border>
    <border>
      <left style="thin">
        <color auto="1"/>
      </left>
      <right style="hair">
        <color auto="1"/>
      </right>
      <top style="thin">
        <color auto="1"/>
      </top>
      <bottom style="hair">
        <color auto="1"/>
      </bottom>
      <diagonal/>
    </border>
    <border>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top style="hair">
        <color auto="1"/>
      </top>
      <bottom style="hair">
        <color auto="1"/>
      </bottom>
      <diagonal/>
    </border>
    <border>
      <left style="hair">
        <color auto="1"/>
      </left>
      <right style="hair">
        <color auto="1"/>
      </right>
      <top style="hair">
        <color auto="1"/>
      </top>
      <bottom style="hair">
        <color auto="1"/>
      </bottom>
      <diagonal/>
    </border>
    <border>
      <left style="thin">
        <color auto="1"/>
      </left>
      <right style="hair">
        <color auto="1"/>
      </right>
      <top style="hair">
        <color auto="1"/>
      </top>
      <bottom style="hair">
        <color auto="1"/>
      </bottom>
      <diagonal/>
    </border>
    <border>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style="thin">
        <color auto="1"/>
      </left>
      <right/>
      <top style="hair">
        <color auto="1"/>
      </top>
      <bottom style="thin">
        <color auto="1"/>
      </bottom>
      <diagonal/>
    </border>
    <border>
      <left/>
      <right style="thin">
        <color auto="1"/>
      </right>
      <top style="hair">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style="hair">
        <color auto="1"/>
      </bottom>
      <diagonal/>
    </border>
    <border>
      <left style="thin">
        <color auto="1"/>
      </left>
      <right style="thin">
        <color auto="1"/>
      </right>
      <top style="hair">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top style="thin">
        <color auto="1"/>
      </top>
      <bottom/>
      <diagonal/>
    </border>
    <border>
      <left style="medium">
        <color auto="1"/>
      </left>
      <right style="thin">
        <color auto="1"/>
      </right>
      <top style="thin">
        <color auto="1"/>
      </top>
      <bottom/>
      <diagonal/>
    </border>
    <border>
      <left/>
      <right style="medium">
        <color auto="1"/>
      </right>
      <top style="thin">
        <color auto="1"/>
      </top>
      <bottom/>
      <diagonal/>
    </border>
    <border>
      <left style="thin">
        <color auto="1"/>
      </left>
      <right style="thin">
        <color auto="1"/>
      </right>
      <top/>
      <bottom/>
      <diagonal/>
    </border>
    <border>
      <left/>
      <right/>
      <top style="medium">
        <color auto="1"/>
      </top>
      <bottom style="medium">
        <color auto="1"/>
      </bottom>
      <diagonal/>
    </border>
  </borders>
  <cellStyleXfs count="17">
    <xf numFmtId="0" fontId="0" fillId="0" borderId="0">
      <alignment vertical="center"/>
    </xf>
    <xf numFmtId="0" fontId="24" fillId="0" borderId="0" applyNumberFormat="0" applyFill="0" applyBorder="0" applyAlignment="0" applyProtection="0">
      <alignment vertical="center"/>
    </xf>
    <xf numFmtId="180" fontId="25" fillId="0" borderId="0" applyFill="0" applyBorder="0" applyAlignment="0"/>
    <xf numFmtId="0" fontId="26" fillId="0" borderId="38" applyNumberFormat="0" applyAlignment="0" applyProtection="0">
      <alignment horizontal="left" vertical="center"/>
    </xf>
    <xf numFmtId="0" fontId="26" fillId="0" borderId="27">
      <alignment horizontal="left" vertical="center"/>
    </xf>
    <xf numFmtId="0" fontId="27" fillId="0" borderId="1" applyNumberFormat="0" applyFill="0" applyBorder="0">
      <alignment vertical="center" wrapText="1"/>
    </xf>
    <xf numFmtId="179" fontId="28" fillId="0" borderId="0" applyFont="0" applyFill="0" applyBorder="0" applyAlignment="0" applyProtection="0"/>
    <xf numFmtId="177" fontId="28" fillId="0" borderId="0" applyFont="0" applyFill="0" applyBorder="0" applyAlignment="0" applyProtection="0"/>
    <xf numFmtId="38" fontId="27" fillId="0" borderId="0" applyFont="0" applyFill="0" applyBorder="0" applyAlignment="0" applyProtection="0"/>
    <xf numFmtId="178" fontId="28" fillId="0" borderId="0" applyFont="0" applyFill="0" applyBorder="0" applyAlignment="0" applyProtection="0"/>
    <xf numFmtId="176" fontId="28" fillId="0" borderId="0" applyFont="0" applyFill="0" applyBorder="0" applyAlignment="0" applyProtection="0"/>
    <xf numFmtId="0" fontId="29" fillId="0" borderId="0">
      <alignment vertical="center"/>
    </xf>
    <xf numFmtId="0" fontId="30" fillId="0" borderId="0"/>
    <xf numFmtId="0" fontId="31" fillId="0" borderId="0">
      <alignment vertical="center"/>
    </xf>
    <xf numFmtId="0" fontId="29" fillId="0" borderId="0">
      <alignment vertical="center"/>
    </xf>
    <xf numFmtId="0" fontId="32" fillId="0" borderId="0">
      <alignment vertical="center"/>
    </xf>
    <xf numFmtId="0" fontId="33" fillId="0" borderId="0">
      <alignment vertical="center"/>
    </xf>
  </cellStyleXfs>
  <cellXfs count="182">
    <xf numFmtId="0" fontId="0" fillId="0" borderId="0" xfId="0">
      <alignment vertical="center"/>
    </xf>
    <xf numFmtId="0" fontId="1" fillId="2" borderId="0" xfId="12" applyFont="1" applyFill="1" applyAlignment="1">
      <alignment vertical="center"/>
    </xf>
    <xf numFmtId="0" fontId="2" fillId="2" borderId="0" xfId="12" applyFont="1" applyFill="1" applyAlignment="1">
      <alignment vertical="center"/>
    </xf>
    <xf numFmtId="0" fontId="1" fillId="3" borderId="1" xfId="12" applyFont="1" applyFill="1" applyBorder="1" applyAlignment="1">
      <alignment vertical="center"/>
    </xf>
    <xf numFmtId="0" fontId="1" fillId="2" borderId="1" xfId="12" applyFont="1" applyFill="1" applyBorder="1" applyAlignment="1">
      <alignment vertical="center"/>
    </xf>
    <xf numFmtId="0" fontId="1" fillId="2" borderId="1" xfId="12" applyFont="1" applyFill="1" applyBorder="1" applyAlignment="1">
      <alignment horizontal="left" vertical="center"/>
    </xf>
    <xf numFmtId="49" fontId="3" fillId="0" borderId="0" xfId="15" applyNumberFormat="1" applyFont="1" applyAlignment="1">
      <alignment horizontal="center" vertical="center"/>
    </xf>
    <xf numFmtId="49" fontId="3" fillId="0" borderId="0" xfId="15" applyNumberFormat="1" applyFont="1">
      <alignment vertical="center"/>
    </xf>
    <xf numFmtId="49" fontId="3" fillId="0" borderId="0" xfId="15" applyNumberFormat="1" applyFont="1" applyAlignment="1">
      <alignment vertical="center" wrapText="1"/>
    </xf>
    <xf numFmtId="49" fontId="1" fillId="0" borderId="0" xfId="15" applyNumberFormat="1" applyFont="1" applyAlignment="1">
      <alignment vertical="center" wrapText="1"/>
    </xf>
    <xf numFmtId="49" fontId="3" fillId="0" borderId="0" xfId="15" applyNumberFormat="1" applyFont="1" applyAlignment="1">
      <alignment horizontal="center" vertical="center" wrapText="1"/>
    </xf>
    <xf numFmtId="49" fontId="3" fillId="4" borderId="1" xfId="0" applyNumberFormat="1" applyFont="1" applyFill="1" applyBorder="1" applyAlignment="1">
      <alignment horizontal="center" vertical="center"/>
    </xf>
    <xf numFmtId="49" fontId="3" fillId="0" borderId="0" xfId="0" applyNumberFormat="1" applyFont="1" applyAlignment="1">
      <alignment horizontal="center" vertical="center" wrapText="1"/>
    </xf>
    <xf numFmtId="49" fontId="3" fillId="4" borderId="1" xfId="0" applyNumberFormat="1" applyFont="1" applyFill="1" applyBorder="1" applyAlignment="1">
      <alignment horizontal="center" vertical="center" wrapText="1"/>
    </xf>
    <xf numFmtId="49" fontId="4" fillId="0" borderId="2" xfId="15" applyNumberFormat="1" applyFont="1" applyBorder="1">
      <alignment vertical="center"/>
    </xf>
    <xf numFmtId="49" fontId="4" fillId="0" borderId="0" xfId="15" applyNumberFormat="1" applyFont="1">
      <alignment vertical="center"/>
    </xf>
    <xf numFmtId="49" fontId="1" fillId="0" borderId="0" xfId="15" applyNumberFormat="1" applyFont="1" applyAlignment="1">
      <alignment horizontal="center" vertical="center" wrapText="1"/>
    </xf>
    <xf numFmtId="49" fontId="3" fillId="0" borderId="0" xfId="0" applyNumberFormat="1" applyFont="1" applyAlignment="1">
      <alignment horizontal="center" vertical="center"/>
    </xf>
    <xf numFmtId="49" fontId="1" fillId="4" borderId="1" xfId="0" applyNumberFormat="1" applyFont="1" applyFill="1" applyBorder="1" applyAlignment="1">
      <alignment horizontal="center" vertical="center" wrapText="1"/>
    </xf>
    <xf numFmtId="49" fontId="1" fillId="0" borderId="2" xfId="15" applyNumberFormat="1" applyFont="1" applyBorder="1" applyAlignment="1">
      <alignment vertical="center" wrapText="1"/>
    </xf>
    <xf numFmtId="0" fontId="1" fillId="0" borderId="0" xfId="16" applyFont="1">
      <alignment vertical="center"/>
    </xf>
    <xf numFmtId="0" fontId="5" fillId="0" borderId="0" xfId="16" applyFont="1">
      <alignment vertical="center"/>
    </xf>
    <xf numFmtId="0" fontId="5" fillId="5" borderId="1" xfId="11" applyFont="1" applyFill="1" applyBorder="1" applyAlignment="1">
      <alignment horizontal="center" vertical="center"/>
    </xf>
    <xf numFmtId="49" fontId="3" fillId="0" borderId="1" xfId="11" applyNumberFormat="1" applyFont="1" applyBorder="1" applyAlignment="1">
      <alignment vertical="center" wrapText="1"/>
    </xf>
    <xf numFmtId="0" fontId="6" fillId="0" borderId="0" xfId="16" applyFont="1">
      <alignment vertical="center"/>
    </xf>
    <xf numFmtId="49" fontId="3" fillId="0" borderId="1" xfId="0" applyNumberFormat="1" applyFont="1" applyBorder="1" applyAlignment="1">
      <alignment vertical="center" wrapText="1"/>
    </xf>
    <xf numFmtId="0" fontId="7" fillId="6" borderId="1" xfId="16" applyFont="1" applyFill="1" applyBorder="1">
      <alignment vertical="center"/>
    </xf>
    <xf numFmtId="0" fontId="1" fillId="6" borderId="1" xfId="16" applyFont="1" applyFill="1" applyBorder="1">
      <alignment vertical="center"/>
    </xf>
    <xf numFmtId="0" fontId="8" fillId="0" borderId="0" xfId="0" applyFont="1">
      <alignment vertical="center"/>
    </xf>
    <xf numFmtId="0" fontId="9" fillId="0" borderId="0" xfId="0" applyFont="1">
      <alignment vertical="center"/>
    </xf>
    <xf numFmtId="0" fontId="10" fillId="0" borderId="0" xfId="16" applyFont="1">
      <alignment vertical="center"/>
    </xf>
    <xf numFmtId="0" fontId="10" fillId="0" borderId="0" xfId="0" applyFont="1">
      <alignment vertical="center"/>
    </xf>
    <xf numFmtId="0" fontId="11" fillId="0" borderId="0" xfId="0" applyFont="1">
      <alignment vertical="center"/>
    </xf>
    <xf numFmtId="0" fontId="1" fillId="0" borderId="0" xfId="11" applyFont="1">
      <alignment vertical="center"/>
    </xf>
    <xf numFmtId="0" fontId="5" fillId="0" borderId="0" xfId="11" applyFont="1">
      <alignment vertical="center"/>
    </xf>
    <xf numFmtId="0" fontId="11" fillId="0" borderId="0" xfId="11" applyFont="1">
      <alignment vertical="center"/>
    </xf>
    <xf numFmtId="0" fontId="5" fillId="5" borderId="3" xfId="11" applyFont="1" applyFill="1" applyBorder="1" applyAlignment="1">
      <alignment horizontal="center" vertical="center"/>
    </xf>
    <xf numFmtId="49" fontId="5" fillId="5" borderId="6" xfId="14" applyNumberFormat="1" applyFont="1" applyFill="1" applyBorder="1" applyAlignment="1">
      <alignment horizontal="center" vertical="center"/>
    </xf>
    <xf numFmtId="49" fontId="12" fillId="5" borderId="7" xfId="14" applyNumberFormat="1" applyFont="1" applyFill="1" applyBorder="1" applyAlignment="1">
      <alignment horizontal="center" vertical="center"/>
    </xf>
    <xf numFmtId="49" fontId="12" fillId="5" borderId="8" xfId="14" applyNumberFormat="1" applyFont="1" applyFill="1" applyBorder="1" applyAlignment="1">
      <alignment horizontal="center" vertical="center"/>
    </xf>
    <xf numFmtId="49" fontId="5" fillId="5" borderId="9" xfId="14" applyNumberFormat="1" applyFont="1" applyFill="1" applyBorder="1" applyAlignment="1">
      <alignment horizontal="center" vertical="center"/>
    </xf>
    <xf numFmtId="49" fontId="12" fillId="5" borderId="10" xfId="14" applyNumberFormat="1" applyFont="1" applyFill="1" applyBorder="1" applyAlignment="1">
      <alignment horizontal="center" vertical="center"/>
    </xf>
    <xf numFmtId="49" fontId="1" fillId="7" borderId="3" xfId="14" applyNumberFormat="1" applyFont="1" applyFill="1" applyBorder="1" applyAlignment="1">
      <alignment horizontal="left" vertical="center" wrapText="1"/>
    </xf>
    <xf numFmtId="49" fontId="1" fillId="7" borderId="4" xfId="14" applyNumberFormat="1" applyFont="1" applyFill="1" applyBorder="1" applyAlignment="1">
      <alignment vertical="center" wrapText="1"/>
    </xf>
    <xf numFmtId="49" fontId="1" fillId="7" borderId="11" xfId="14" applyNumberFormat="1" applyFont="1" applyFill="1" applyBorder="1" applyAlignment="1">
      <alignment vertical="center" wrapText="1"/>
    </xf>
    <xf numFmtId="49" fontId="1" fillId="7" borderId="12" xfId="14" applyNumberFormat="1" applyFont="1" applyFill="1" applyBorder="1" applyAlignment="1">
      <alignment vertical="center" wrapText="1"/>
    </xf>
    <xf numFmtId="49" fontId="1" fillId="7" borderId="13" xfId="14" applyNumberFormat="1" applyFont="1" applyFill="1" applyBorder="1" applyAlignment="1">
      <alignment vertical="center" wrapText="1"/>
    </xf>
    <xf numFmtId="49" fontId="1" fillId="7" borderId="14" xfId="14" applyNumberFormat="1" applyFont="1" applyFill="1" applyBorder="1" applyAlignment="1">
      <alignment horizontal="left" vertical="center" wrapText="1"/>
    </xf>
    <xf numFmtId="49" fontId="1" fillId="7" borderId="15" xfId="14" applyNumberFormat="1" applyFont="1" applyFill="1" applyBorder="1" applyAlignment="1">
      <alignment vertical="center" wrapText="1"/>
    </xf>
    <xf numFmtId="49" fontId="1" fillId="7" borderId="16" xfId="14" applyNumberFormat="1" applyFont="1" applyFill="1" applyBorder="1" applyAlignment="1">
      <alignment vertical="center" wrapText="1"/>
    </xf>
    <xf numFmtId="49" fontId="1" fillId="7" borderId="17" xfId="14" applyNumberFormat="1" applyFont="1" applyFill="1" applyBorder="1" applyAlignment="1">
      <alignment vertical="center" wrapText="1"/>
    </xf>
    <xf numFmtId="49" fontId="1" fillId="7" borderId="18" xfId="14" applyNumberFormat="1" applyFont="1" applyFill="1" applyBorder="1" applyAlignment="1">
      <alignment vertical="center" wrapText="1"/>
    </xf>
    <xf numFmtId="49" fontId="1" fillId="7" borderId="14" xfId="14" applyNumberFormat="1" applyFont="1" applyFill="1" applyBorder="1">
      <alignment vertical="center"/>
    </xf>
    <xf numFmtId="49" fontId="1" fillId="7" borderId="14" xfId="14" applyNumberFormat="1" applyFont="1" applyFill="1" applyBorder="1" applyAlignment="1">
      <alignment vertical="center" wrapText="1"/>
    </xf>
    <xf numFmtId="49" fontId="1" fillId="7" borderId="19" xfId="14" applyNumberFormat="1" applyFont="1" applyFill="1" applyBorder="1" applyAlignment="1">
      <alignment vertical="center" wrapText="1"/>
    </xf>
    <xf numFmtId="49" fontId="1" fillId="7" borderId="20" xfId="14" applyNumberFormat="1" applyFont="1" applyFill="1" applyBorder="1" applyAlignment="1">
      <alignment vertical="center" wrapText="1"/>
    </xf>
    <xf numFmtId="49" fontId="1" fillId="7" borderId="8" xfId="14" applyNumberFormat="1" applyFont="1" applyFill="1" applyBorder="1" applyAlignment="1">
      <alignment vertical="center" wrapText="1"/>
    </xf>
    <xf numFmtId="49" fontId="1" fillId="7" borderId="9" xfId="14" applyNumberFormat="1" applyFont="1" applyFill="1" applyBorder="1" applyAlignment="1">
      <alignment vertical="center" wrapText="1"/>
    </xf>
    <xf numFmtId="49" fontId="1" fillId="7" borderId="21" xfId="14" applyNumberFormat="1" applyFont="1" applyFill="1" applyBorder="1" applyAlignment="1">
      <alignment vertical="center" wrapText="1"/>
    </xf>
    <xf numFmtId="0" fontId="7" fillId="6" borderId="7" xfId="16" applyFont="1" applyFill="1" applyBorder="1">
      <alignment vertical="center"/>
    </xf>
    <xf numFmtId="0" fontId="11" fillId="6" borderId="22" xfId="16" applyFont="1" applyFill="1" applyBorder="1">
      <alignment vertical="center"/>
    </xf>
    <xf numFmtId="0" fontId="11" fillId="6" borderId="10" xfId="16" applyFont="1" applyFill="1" applyBorder="1">
      <alignment vertical="center"/>
    </xf>
    <xf numFmtId="0" fontId="11" fillId="0" borderId="0" xfId="16" applyFont="1">
      <alignment vertical="center"/>
    </xf>
    <xf numFmtId="0" fontId="5" fillId="2" borderId="0" xfId="11" applyFont="1" applyFill="1" applyAlignment="1">
      <alignment vertical="top" wrapText="1"/>
    </xf>
    <xf numFmtId="0" fontId="1" fillId="2" borderId="0" xfId="11" applyFont="1" applyFill="1" applyAlignment="1">
      <alignment vertical="top" wrapText="1"/>
    </xf>
    <xf numFmtId="0" fontId="10" fillId="2" borderId="0" xfId="11" applyFont="1" applyFill="1" applyAlignment="1">
      <alignment vertical="top"/>
    </xf>
    <xf numFmtId="0" fontId="10" fillId="2" borderId="0" xfId="11" applyFont="1" applyFill="1" applyAlignment="1">
      <alignment vertical="top" wrapText="1"/>
    </xf>
    <xf numFmtId="0" fontId="5" fillId="2" borderId="0" xfId="11" applyFont="1" applyFill="1" applyAlignment="1">
      <alignment wrapText="1"/>
    </xf>
    <xf numFmtId="0" fontId="1" fillId="5" borderId="23" xfId="11" applyFont="1" applyFill="1" applyBorder="1" applyAlignment="1">
      <alignment vertical="top" wrapText="1"/>
    </xf>
    <xf numFmtId="0" fontId="1" fillId="7" borderId="3" xfId="11" applyFont="1" applyFill="1" applyBorder="1" applyAlignment="1">
      <alignment vertical="top" wrapText="1"/>
    </xf>
    <xf numFmtId="0" fontId="1" fillId="7" borderId="14" xfId="11" applyFont="1" applyFill="1" applyBorder="1" applyAlignment="1">
      <alignment vertical="top" wrapText="1"/>
    </xf>
    <xf numFmtId="0" fontId="1" fillId="7" borderId="14" xfId="11" applyFont="1" applyFill="1" applyBorder="1" applyAlignment="1" applyProtection="1">
      <alignment vertical="top" wrapText="1"/>
      <protection locked="0"/>
    </xf>
    <xf numFmtId="0" fontId="13" fillId="2" borderId="0" xfId="11" applyFont="1" applyFill="1" applyAlignment="1">
      <alignment vertical="top" wrapText="1"/>
    </xf>
    <xf numFmtId="0" fontId="1" fillId="7" borderId="19" xfId="11" applyFont="1" applyFill="1" applyBorder="1" applyAlignment="1">
      <alignment vertical="top" wrapText="1"/>
    </xf>
    <xf numFmtId="0" fontId="11" fillId="2" borderId="0" xfId="11" applyFont="1" applyFill="1" applyAlignment="1">
      <alignment vertical="top" wrapText="1"/>
    </xf>
    <xf numFmtId="0" fontId="5" fillId="2" borderId="0" xfId="11" applyFont="1" applyFill="1" applyAlignment="1"/>
    <xf numFmtId="0" fontId="1" fillId="5" borderId="1" xfId="11" applyFont="1" applyFill="1" applyBorder="1" applyAlignment="1">
      <alignment vertical="top"/>
    </xf>
    <xf numFmtId="0" fontId="1" fillId="5" borderId="1" xfId="11" applyFont="1" applyFill="1" applyBorder="1" applyAlignment="1">
      <alignment vertical="top" wrapText="1"/>
    </xf>
    <xf numFmtId="0" fontId="1" fillId="7" borderId="14" xfId="11" applyFont="1" applyFill="1" applyBorder="1" applyAlignment="1">
      <alignment vertical="center" wrapText="1"/>
    </xf>
    <xf numFmtId="0" fontId="1" fillId="7" borderId="24" xfId="11" applyFont="1" applyFill="1" applyBorder="1" applyAlignment="1">
      <alignment vertical="top" wrapText="1"/>
    </xf>
    <xf numFmtId="0" fontId="1" fillId="7" borderId="6" xfId="11" applyFont="1" applyFill="1" applyBorder="1" applyAlignment="1">
      <alignment vertical="top"/>
    </xf>
    <xf numFmtId="0" fontId="1" fillId="7" borderId="6" xfId="11" applyFont="1" applyFill="1" applyBorder="1" applyAlignment="1">
      <alignment vertical="top" wrapText="1"/>
    </xf>
    <xf numFmtId="0" fontId="1" fillId="7" borderId="25" xfId="11" applyFont="1" applyFill="1" applyBorder="1" applyAlignment="1">
      <alignment vertical="center" wrapText="1"/>
    </xf>
    <xf numFmtId="0" fontId="1" fillId="7" borderId="19" xfId="11" applyFont="1" applyFill="1" applyBorder="1" applyAlignment="1">
      <alignment vertical="center" wrapText="1"/>
    </xf>
    <xf numFmtId="0" fontId="11" fillId="0" borderId="0" xfId="11" applyFont="1" applyAlignment="1">
      <alignment vertical="top"/>
    </xf>
    <xf numFmtId="0" fontId="5" fillId="2" borderId="0" xfId="16" applyFont="1" applyFill="1">
      <alignment vertical="center"/>
    </xf>
    <xf numFmtId="49" fontId="1" fillId="7" borderId="24" xfId="11" applyNumberFormat="1" applyFont="1" applyFill="1" applyBorder="1" applyAlignment="1">
      <alignment vertical="top" wrapText="1"/>
    </xf>
    <xf numFmtId="0" fontId="1" fillId="2" borderId="0" xfId="16" applyFont="1" applyFill="1">
      <alignment vertical="center"/>
    </xf>
    <xf numFmtId="0" fontId="1" fillId="2" borderId="0" xfId="0" applyFont="1" applyFill="1" applyAlignment="1">
      <alignment vertical="top" wrapText="1"/>
    </xf>
    <xf numFmtId="0" fontId="11" fillId="2" borderId="0" xfId="16" applyFont="1" applyFill="1">
      <alignment vertical="center"/>
    </xf>
    <xf numFmtId="0" fontId="10" fillId="2" borderId="0" xfId="16" applyFont="1" applyFill="1">
      <alignment vertical="center"/>
    </xf>
    <xf numFmtId="49" fontId="1" fillId="7" borderId="19" xfId="11" applyNumberFormat="1" applyFont="1" applyFill="1" applyBorder="1" applyAlignment="1">
      <alignment vertical="top" wrapText="1"/>
    </xf>
    <xf numFmtId="0" fontId="14" fillId="2" borderId="0" xfId="0" applyFont="1" applyFill="1" applyAlignment="1">
      <alignment horizontal="center" vertical="center"/>
    </xf>
    <xf numFmtId="0" fontId="3" fillId="2" borderId="0" xfId="0" applyFont="1" applyFill="1">
      <alignment vertical="center"/>
    </xf>
    <xf numFmtId="0" fontId="15" fillId="2" borderId="0" xfId="0" applyFont="1" applyFill="1">
      <alignment vertical="center"/>
    </xf>
    <xf numFmtId="0" fontId="14" fillId="2" borderId="0" xfId="0" applyFont="1" applyFill="1" applyAlignment="1">
      <alignment horizontal="left" vertical="center"/>
    </xf>
    <xf numFmtId="0" fontId="5" fillId="4" borderId="26" xfId="0" applyFont="1" applyFill="1" applyBorder="1" applyAlignment="1">
      <alignment vertical="center" wrapText="1"/>
    </xf>
    <xf numFmtId="0" fontId="5" fillId="4" borderId="27" xfId="0" applyFont="1" applyFill="1" applyBorder="1" applyAlignment="1">
      <alignment vertical="center" wrapText="1"/>
    </xf>
    <xf numFmtId="0" fontId="5" fillId="4" borderId="28" xfId="0" applyFont="1" applyFill="1" applyBorder="1" applyAlignment="1">
      <alignment vertical="center" wrapText="1"/>
    </xf>
    <xf numFmtId="0" fontId="5" fillId="4" borderId="26" xfId="0" applyFont="1" applyFill="1" applyBorder="1">
      <alignment vertical="center"/>
    </xf>
    <xf numFmtId="0" fontId="5" fillId="4" borderId="1" xfId="0" applyFont="1" applyFill="1" applyBorder="1" applyAlignment="1">
      <alignment horizontal="center" vertical="center" wrapText="1"/>
    </xf>
    <xf numFmtId="0" fontId="14" fillId="7" borderId="1" xfId="0" applyFont="1" applyFill="1" applyBorder="1" applyAlignment="1">
      <alignment horizontal="center" vertical="center"/>
    </xf>
    <xf numFmtId="0" fontId="14" fillId="2" borderId="1" xfId="0" applyFont="1" applyFill="1" applyBorder="1" applyAlignment="1">
      <alignment horizontal="center" vertical="center"/>
    </xf>
    <xf numFmtId="0" fontId="5" fillId="4" borderId="27" xfId="0" applyFont="1" applyFill="1" applyBorder="1" applyAlignment="1">
      <alignment horizontal="center" vertical="center" wrapText="1"/>
    </xf>
    <xf numFmtId="0" fontId="5" fillId="4" borderId="28" xfId="0" applyFont="1" applyFill="1" applyBorder="1" applyAlignment="1">
      <alignment horizontal="center" vertical="center" wrapText="1"/>
    </xf>
    <xf numFmtId="0" fontId="16" fillId="0" borderId="0" xfId="0" applyFont="1">
      <alignment vertical="center"/>
    </xf>
    <xf numFmtId="0" fontId="3" fillId="0" borderId="0" xfId="0" applyFont="1">
      <alignment vertical="center"/>
    </xf>
    <xf numFmtId="0" fontId="17" fillId="0" borderId="0" xfId="0" applyFont="1" applyAlignment="1">
      <alignment vertical="center" wrapText="1"/>
    </xf>
    <xf numFmtId="0" fontId="3" fillId="4" borderId="1" xfId="0" applyFont="1" applyFill="1" applyBorder="1">
      <alignment vertical="center"/>
    </xf>
    <xf numFmtId="181" fontId="3" fillId="4" borderId="1" xfId="0" applyNumberFormat="1" applyFont="1" applyFill="1" applyBorder="1">
      <alignment vertical="center"/>
    </xf>
    <xf numFmtId="0" fontId="1" fillId="4" borderId="1" xfId="0" applyFont="1" applyFill="1" applyBorder="1" applyAlignment="1">
      <alignment vertical="center" wrapText="1"/>
    </xf>
    <xf numFmtId="0" fontId="1" fillId="0" borderId="27" xfId="0" applyFont="1" applyBorder="1">
      <alignment vertical="center"/>
    </xf>
    <xf numFmtId="0" fontId="10" fillId="2" borderId="0" xfId="0" applyFont="1" applyFill="1">
      <alignment vertical="center"/>
    </xf>
    <xf numFmtId="0" fontId="18" fillId="2" borderId="0" xfId="0" applyFont="1" applyFill="1">
      <alignment vertical="center"/>
    </xf>
    <xf numFmtId="0" fontId="19" fillId="2" borderId="0" xfId="1" applyFont="1" applyFill="1">
      <alignment vertical="center"/>
    </xf>
    <xf numFmtId="0" fontId="20" fillId="2" borderId="0" xfId="1" applyFont="1" applyFill="1">
      <alignment vertical="center"/>
    </xf>
    <xf numFmtId="0" fontId="20" fillId="2" borderId="0" xfId="0" applyFont="1" applyFill="1">
      <alignment vertical="center"/>
    </xf>
    <xf numFmtId="0" fontId="21" fillId="4" borderId="26" xfId="0" applyFont="1" applyFill="1" applyBorder="1" applyAlignment="1">
      <alignment vertical="center" wrapText="1"/>
    </xf>
    <xf numFmtId="0" fontId="21" fillId="4" borderId="27" xfId="0" applyFont="1" applyFill="1" applyBorder="1" applyAlignment="1">
      <alignment vertical="center" wrapText="1"/>
    </xf>
    <xf numFmtId="0" fontId="21" fillId="4" borderId="29" xfId="0" applyFont="1" applyFill="1" applyBorder="1" applyAlignment="1">
      <alignment vertical="center" wrapText="1"/>
    </xf>
    <xf numFmtId="0" fontId="21" fillId="4" borderId="30" xfId="0" applyFont="1" applyFill="1" applyBorder="1">
      <alignment vertical="center"/>
    </xf>
    <xf numFmtId="0" fontId="21" fillId="4" borderId="23" xfId="0" applyFont="1" applyFill="1" applyBorder="1" applyAlignment="1">
      <alignment horizontal="center" vertical="center" wrapText="1"/>
    </xf>
    <xf numFmtId="0" fontId="21" fillId="4" borderId="23" xfId="0" applyFont="1" applyFill="1" applyBorder="1" applyAlignment="1">
      <alignment horizontal="center" vertical="center" textRotation="255" wrapText="1"/>
    </xf>
    <xf numFmtId="0" fontId="21" fillId="4" borderId="31" xfId="0" applyFont="1" applyFill="1" applyBorder="1" applyAlignment="1">
      <alignment horizontal="center" vertical="center" wrapText="1"/>
    </xf>
    <xf numFmtId="0" fontId="21" fillId="4" borderId="28" xfId="0" applyFont="1" applyFill="1" applyBorder="1" applyAlignment="1">
      <alignment horizontal="center" vertical="center" wrapText="1"/>
    </xf>
    <xf numFmtId="0" fontId="21" fillId="4" borderId="1" xfId="0" applyFont="1" applyFill="1" applyBorder="1" applyAlignment="1">
      <alignment horizontal="center" vertical="center" wrapText="1"/>
    </xf>
    <xf numFmtId="182" fontId="16" fillId="9" borderId="1" xfId="0" applyNumberFormat="1" applyFont="1" applyFill="1" applyBorder="1">
      <alignment vertical="center"/>
    </xf>
    <xf numFmtId="49" fontId="22" fillId="7" borderId="26" xfId="0" applyNumberFormat="1" applyFont="1" applyFill="1" applyBorder="1" applyAlignment="1" applyProtection="1">
      <alignment horizontal="center" vertical="center" wrapText="1"/>
      <protection locked="0"/>
    </xf>
    <xf numFmtId="0" fontId="22" fillId="9" borderId="26" xfId="0" applyFont="1" applyFill="1" applyBorder="1" applyAlignment="1" applyProtection="1">
      <alignment vertical="center" wrapText="1"/>
      <protection locked="0"/>
    </xf>
    <xf numFmtId="49" fontId="22" fillId="7" borderId="26" xfId="0" applyNumberFormat="1" applyFont="1" applyFill="1" applyBorder="1" applyAlignment="1" applyProtection="1">
      <alignment vertical="center" wrapText="1"/>
      <protection locked="0"/>
    </xf>
    <xf numFmtId="49" fontId="16" fillId="9" borderId="1" xfId="0" applyNumberFormat="1" applyFont="1" applyFill="1" applyBorder="1" applyAlignment="1">
      <alignment horizontal="left" vertical="center"/>
    </xf>
    <xf numFmtId="49" fontId="16" fillId="9" borderId="32" xfId="0" applyNumberFormat="1" applyFont="1" applyFill="1" applyBorder="1" applyAlignment="1">
      <alignment horizontal="left" vertical="center"/>
    </xf>
    <xf numFmtId="49" fontId="22" fillId="5" borderId="27" xfId="0" applyNumberFormat="1" applyFont="1" applyFill="1" applyBorder="1" applyAlignment="1" applyProtection="1">
      <alignment vertical="center" wrapText="1"/>
      <protection locked="0"/>
    </xf>
    <xf numFmtId="183" fontId="22" fillId="0" borderId="1" xfId="0" applyNumberFormat="1" applyFont="1" applyBorder="1" applyAlignment="1">
      <alignment horizontal="left" vertical="center"/>
    </xf>
    <xf numFmtId="0" fontId="3" fillId="9" borderId="1" xfId="0" applyFont="1" applyFill="1" applyBorder="1" applyAlignment="1">
      <alignment horizontal="right" vertical="center"/>
    </xf>
    <xf numFmtId="0" fontId="3" fillId="2" borderId="27" xfId="0" applyFont="1" applyFill="1" applyBorder="1">
      <alignment vertical="center"/>
    </xf>
    <xf numFmtId="0" fontId="3" fillId="0" borderId="28" xfId="0" applyFont="1" applyBorder="1">
      <alignment vertical="center"/>
    </xf>
    <xf numFmtId="49" fontId="22" fillId="0" borderId="1" xfId="0" applyNumberFormat="1" applyFont="1" applyBorder="1" applyAlignment="1">
      <alignment horizontal="left" vertical="top" wrapText="1"/>
    </xf>
    <xf numFmtId="182" fontId="22" fillId="0" borderId="1" xfId="0" applyNumberFormat="1" applyFont="1" applyBorder="1" applyAlignment="1">
      <alignment horizontal="left" vertical="center"/>
    </xf>
    <xf numFmtId="0" fontId="21" fillId="4" borderId="32" xfId="0" applyFont="1" applyFill="1" applyBorder="1" applyAlignment="1">
      <alignment horizontal="center" vertical="center" wrapText="1"/>
    </xf>
    <xf numFmtId="49" fontId="22" fillId="0" borderId="1" xfId="0" applyNumberFormat="1" applyFont="1" applyBorder="1" applyAlignment="1">
      <alignment horizontal="left" vertical="center" wrapText="1"/>
    </xf>
    <xf numFmtId="49" fontId="22" fillId="0" borderId="32" xfId="0" applyNumberFormat="1" applyFont="1" applyBorder="1" applyAlignment="1">
      <alignment horizontal="left" vertical="center" wrapText="1"/>
    </xf>
    <xf numFmtId="0" fontId="21" fillId="4" borderId="33" xfId="0" applyFont="1" applyFill="1" applyBorder="1" applyAlignment="1">
      <alignment horizontal="center" vertical="center" wrapText="1"/>
    </xf>
    <xf numFmtId="0" fontId="21" fillId="4" borderId="10" xfId="0" applyFont="1" applyFill="1" applyBorder="1" applyAlignment="1">
      <alignment horizontal="center" vertical="center" wrapText="1"/>
    </xf>
    <xf numFmtId="49" fontId="22" fillId="5" borderId="30" xfId="0" applyNumberFormat="1" applyFont="1" applyFill="1" applyBorder="1" applyAlignment="1" applyProtection="1">
      <alignment vertical="center" wrapText="1"/>
      <protection locked="0"/>
    </xf>
    <xf numFmtId="49" fontId="22" fillId="0" borderId="28" xfId="0" applyNumberFormat="1" applyFont="1" applyBorder="1" applyAlignment="1">
      <alignment horizontal="left" vertical="top" wrapText="1"/>
    </xf>
    <xf numFmtId="49" fontId="22" fillId="5" borderId="26" xfId="0" applyNumberFormat="1" applyFont="1" applyFill="1" applyBorder="1" applyAlignment="1" applyProtection="1">
      <alignment vertical="center" wrapText="1"/>
      <protection locked="0"/>
    </xf>
    <xf numFmtId="49" fontId="22" fillId="10" borderId="1" xfId="0" applyNumberFormat="1" applyFont="1" applyFill="1" applyBorder="1" applyAlignment="1">
      <alignment vertical="center" wrapText="1"/>
    </xf>
    <xf numFmtId="0" fontId="21" fillId="4" borderId="27" xfId="0" applyFont="1" applyFill="1" applyBorder="1">
      <alignment vertical="center"/>
    </xf>
    <xf numFmtId="0" fontId="21" fillId="4" borderId="26" xfId="0" applyFont="1" applyFill="1" applyBorder="1" applyAlignment="1">
      <alignment horizontal="center" vertical="center" wrapText="1"/>
    </xf>
    <xf numFmtId="49" fontId="22" fillId="0" borderId="26" xfId="0" applyNumberFormat="1" applyFont="1" applyBorder="1" applyAlignment="1">
      <alignment horizontal="left" vertical="center" wrapText="1"/>
    </xf>
    <xf numFmtId="0" fontId="21" fillId="4" borderId="27" xfId="0" applyFont="1" applyFill="1" applyBorder="1" applyAlignment="1">
      <alignment horizontal="center" vertical="center" wrapText="1"/>
    </xf>
    <xf numFmtId="0" fontId="21" fillId="4" borderId="29" xfId="0" applyFont="1" applyFill="1" applyBorder="1" applyAlignment="1">
      <alignment horizontal="center" vertical="center" wrapText="1"/>
    </xf>
    <xf numFmtId="0" fontId="21" fillId="4" borderId="34" xfId="0" applyFont="1" applyFill="1" applyBorder="1" applyAlignment="1">
      <alignment horizontal="center" vertical="center" wrapText="1"/>
    </xf>
    <xf numFmtId="0" fontId="21" fillId="4" borderId="35" xfId="0" applyFont="1" applyFill="1" applyBorder="1" applyAlignment="1">
      <alignment horizontal="center" vertical="center" wrapText="1"/>
    </xf>
    <xf numFmtId="0" fontId="21" fillId="4" borderId="36" xfId="0" applyFont="1" applyFill="1" applyBorder="1" applyAlignment="1">
      <alignment horizontal="center" vertical="center" wrapText="1"/>
    </xf>
    <xf numFmtId="49" fontId="22" fillId="0" borderId="26" xfId="0" applyNumberFormat="1" applyFont="1" applyBorder="1" applyAlignment="1">
      <alignment horizontal="left" vertical="top" wrapText="1"/>
    </xf>
    <xf numFmtId="49" fontId="22" fillId="7" borderId="33" xfId="0" applyNumberFormat="1" applyFont="1" applyFill="1" applyBorder="1" applyAlignment="1">
      <alignment vertical="center" wrapText="1"/>
    </xf>
    <xf numFmtId="49" fontId="22" fillId="0" borderId="29" xfId="0" applyNumberFormat="1" applyFont="1" applyBorder="1" applyAlignment="1">
      <alignment horizontal="left" vertical="top" wrapText="1"/>
    </xf>
    <xf numFmtId="49" fontId="22" fillId="7" borderId="33" xfId="0" applyNumberFormat="1" applyFont="1" applyFill="1" applyBorder="1" applyAlignment="1">
      <alignment horizontal="left" vertical="center" wrapText="1"/>
    </xf>
    <xf numFmtId="0" fontId="7" fillId="6" borderId="0" xfId="0" applyFont="1" applyFill="1">
      <alignment vertical="center"/>
    </xf>
    <xf numFmtId="0" fontId="3" fillId="6" borderId="0" xfId="0" applyFont="1" applyFill="1">
      <alignment vertical="center"/>
    </xf>
    <xf numFmtId="0" fontId="23" fillId="0" borderId="0" xfId="0" applyFont="1">
      <alignment vertical="center"/>
    </xf>
    <xf numFmtId="0" fontId="0" fillId="11" borderId="1" xfId="0" applyFill="1" applyBorder="1">
      <alignment vertical="center"/>
    </xf>
    <xf numFmtId="0" fontId="0" fillId="0" borderId="1" xfId="0" applyBorder="1">
      <alignment vertical="center"/>
    </xf>
    <xf numFmtId="0" fontId="0" fillId="12" borderId="1" xfId="0" applyFill="1" applyBorder="1">
      <alignment vertical="center"/>
    </xf>
    <xf numFmtId="0" fontId="0" fillId="0" borderId="37" xfId="0" applyBorder="1">
      <alignment vertical="center"/>
    </xf>
    <xf numFmtId="0" fontId="0" fillId="0" borderId="1" xfId="0" quotePrefix="1" applyBorder="1">
      <alignment vertical="center"/>
    </xf>
    <xf numFmtId="49" fontId="37" fillId="0" borderId="28" xfId="0" applyNumberFormat="1" applyFont="1" applyBorder="1" applyAlignment="1">
      <alignment horizontal="left" vertical="top" wrapText="1"/>
    </xf>
    <xf numFmtId="49" fontId="37" fillId="0" borderId="1" xfId="0" applyNumberFormat="1" applyFont="1" applyBorder="1" applyAlignment="1">
      <alignment horizontal="left" vertical="top" wrapText="1"/>
    </xf>
    <xf numFmtId="49" fontId="37" fillId="5" borderId="26" xfId="0" applyNumberFormat="1" applyFont="1" applyFill="1" applyBorder="1" applyAlignment="1" applyProtection="1">
      <alignment vertical="center" wrapText="1"/>
      <protection locked="0"/>
    </xf>
    <xf numFmtId="0" fontId="17" fillId="8" borderId="0" xfId="0" applyFont="1" applyFill="1" applyAlignment="1">
      <alignment horizontal="center" vertical="center" wrapText="1"/>
    </xf>
    <xf numFmtId="0" fontId="17" fillId="8" borderId="22" xfId="0" applyFont="1" applyFill="1" applyBorder="1" applyAlignment="1">
      <alignment horizontal="center" vertical="center" wrapText="1"/>
    </xf>
    <xf numFmtId="0" fontId="1" fillId="0" borderId="26" xfId="0" applyFont="1" applyBorder="1" applyAlignment="1">
      <alignment horizontal="left" vertical="center"/>
    </xf>
    <xf numFmtId="0" fontId="1" fillId="0" borderId="28" xfId="0" applyFont="1" applyBorder="1" applyAlignment="1">
      <alignment horizontal="left" vertical="center"/>
    </xf>
    <xf numFmtId="0" fontId="1" fillId="0" borderId="27" xfId="0" applyFont="1" applyBorder="1" applyAlignment="1">
      <alignment horizontal="left" vertical="center"/>
    </xf>
    <xf numFmtId="49" fontId="1" fillId="7" borderId="26" xfId="0" applyNumberFormat="1" applyFont="1" applyFill="1" applyBorder="1" applyAlignment="1" applyProtection="1">
      <alignment horizontal="left" vertical="center" wrapText="1"/>
      <protection locked="0"/>
    </xf>
    <xf numFmtId="49" fontId="1" fillId="7" borderId="27" xfId="0" applyNumberFormat="1" applyFont="1" applyFill="1" applyBorder="1" applyAlignment="1" applyProtection="1">
      <alignment horizontal="left" vertical="center" wrapText="1"/>
      <protection locked="0"/>
    </xf>
    <xf numFmtId="49" fontId="1" fillId="7" borderId="28" xfId="0" applyNumberFormat="1" applyFont="1" applyFill="1" applyBorder="1" applyAlignment="1" applyProtection="1">
      <alignment horizontal="left" vertical="center" wrapText="1"/>
      <protection locked="0"/>
    </xf>
    <xf numFmtId="0" fontId="5" fillId="5" borderId="4" xfId="11" applyFont="1" applyFill="1" applyBorder="1" applyAlignment="1">
      <alignment horizontal="center" vertical="center"/>
    </xf>
    <xf numFmtId="0" fontId="5" fillId="5" borderId="5" xfId="11" applyFont="1" applyFill="1" applyBorder="1" applyAlignment="1">
      <alignment horizontal="center" vertical="center"/>
    </xf>
    <xf numFmtId="0" fontId="5" fillId="5" borderId="3" xfId="11" applyFont="1" applyFill="1" applyBorder="1" applyAlignment="1">
      <alignment horizontal="center" vertical="center"/>
    </xf>
  </cellXfs>
  <cellStyles count="17">
    <cellStyle name="Calc Currency (0)" xfId="2" xr:uid="{00000000-0005-0000-0000-000031000000}"/>
    <cellStyle name="Header1" xfId="3" xr:uid="{00000000-0005-0000-0000-000032000000}"/>
    <cellStyle name="Header2" xfId="4" xr:uid="{00000000-0005-0000-0000-000033000000}"/>
    <cellStyle name="ハイパーリンク" xfId="1" builtinId="8"/>
    <cellStyle name="パラメータ" xfId="5" xr:uid="{00000000-0005-0000-0000-000034000000}"/>
    <cellStyle name="桁蟻唇Ｆ [0.00]_Sheet2" xfId="6" xr:uid="{00000000-0005-0000-0000-000035000000}"/>
    <cellStyle name="桁蟻唇Ｆ_Sheet2" xfId="7" xr:uid="{00000000-0005-0000-0000-000036000000}"/>
    <cellStyle name="桁区切り 2" xfId="8" xr:uid="{00000000-0005-0000-0000-000037000000}"/>
    <cellStyle name="脱浦 [0.00]_Sheet2" xfId="9" xr:uid="{00000000-0005-0000-0000-000038000000}"/>
    <cellStyle name="脱浦_Sheet2" xfId="10" xr:uid="{00000000-0005-0000-0000-000039000000}"/>
    <cellStyle name="標準" xfId="0" builtinId="0"/>
    <cellStyle name="標準 2" xfId="11" xr:uid="{00000000-0005-0000-0000-00003A000000}"/>
    <cellStyle name="標準 2 2" xfId="12" xr:uid="{00000000-0005-0000-0000-00003B000000}"/>
    <cellStyle name="標準 3" xfId="13" xr:uid="{00000000-0005-0000-0000-00003C000000}"/>
    <cellStyle name="標準 4" xfId="14" xr:uid="{00000000-0005-0000-0000-00003D000000}"/>
    <cellStyle name="標準 5" xfId="15" xr:uid="{00000000-0005-0000-0000-00003E000000}"/>
    <cellStyle name="標準_質問内容結果" xfId="16" xr:uid="{00000000-0005-0000-0000-00003F000000}"/>
  </cellStyles>
  <dxfs count="7">
    <dxf>
      <font>
        <color theme="0"/>
      </font>
      <fill>
        <patternFill patternType="solid">
          <bgColor theme="0" tint="-0.499984740745262"/>
        </patternFill>
      </fill>
    </dxf>
    <dxf>
      <font>
        <color theme="0"/>
      </font>
      <fill>
        <patternFill patternType="solid">
          <bgColor theme="0" tint="-0.499984740745262"/>
        </patternFill>
      </fill>
    </dxf>
    <dxf>
      <font>
        <color theme="0"/>
      </font>
      <fill>
        <patternFill patternType="solid">
          <bgColor theme="0" tint="-0.499984740745262"/>
        </patternFill>
      </fill>
    </dxf>
    <dxf>
      <fill>
        <patternFill patternType="solid">
          <bgColor rgb="FFBFBFBF"/>
        </patternFill>
      </fill>
    </dxf>
    <dxf>
      <fill>
        <patternFill patternType="solid">
          <bgColor rgb="FFB7DEE8"/>
        </patternFill>
      </fill>
    </dxf>
    <dxf>
      <fill>
        <patternFill patternType="solid">
          <bgColor rgb="FFFF0000"/>
        </patternFill>
      </fill>
    </dxf>
    <dxf>
      <fill>
        <patternFill patternType="solid">
          <bgColor rgb="FFFF0000"/>
        </patternFill>
      </fill>
    </dxf>
  </dxfs>
  <tableStyles count="0" defaultTableStyle="TableStyleMedium2" defaultPivotStyle="PivotStyleLight16"/>
  <colors>
    <mruColors>
      <color rgb="FFE0E0FF"/>
      <color rgb="FFF0FFFF"/>
      <color rgb="FFCCFFCC"/>
      <color rgb="FFFFFF99"/>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38</xdr:row>
      <xdr:rowOff>0</xdr:rowOff>
    </xdr:from>
    <xdr:to>
      <xdr:col>20</xdr:col>
      <xdr:colOff>54378</xdr:colOff>
      <xdr:row>79</xdr:row>
      <xdr:rowOff>69182</xdr:rowOff>
    </xdr:to>
    <xdr:pic>
      <xdr:nvPicPr>
        <xdr:cNvPr id="4" name="図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1200150" y="7239000"/>
          <a:ext cx="11755755" cy="7879080"/>
        </a:xfrm>
        <a:prstGeom prst="rect">
          <a:avLst/>
        </a:prstGeom>
        <a:ln>
          <a:solidFill>
            <a:sysClr val="windowText" lastClr="000000"/>
          </a:solidFill>
        </a:ln>
      </xdr:spPr>
    </xdr:pic>
    <xdr:clientData/>
  </xdr:twoCellAnchor>
  <xdr:twoCellAnchor editAs="oneCell">
    <xdr:from>
      <xdr:col>2</xdr:col>
      <xdr:colOff>0</xdr:colOff>
      <xdr:row>84</xdr:row>
      <xdr:rowOff>0</xdr:rowOff>
    </xdr:from>
    <xdr:to>
      <xdr:col>20</xdr:col>
      <xdr:colOff>69619</xdr:colOff>
      <xdr:row>124</xdr:row>
      <xdr:rowOff>61546</xdr:rowOff>
    </xdr:to>
    <xdr:pic>
      <xdr:nvPicPr>
        <xdr:cNvPr id="3" name="図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1200150" y="16002000"/>
          <a:ext cx="11770995" cy="7680960"/>
        </a:xfrm>
        <a:prstGeom prst="rect">
          <a:avLst/>
        </a:prstGeom>
        <a:ln>
          <a:solidFill>
            <a:sysClr val="windowText" lastClr="000000"/>
          </a:solidFill>
        </a:ln>
      </xdr:spPr>
    </xdr:pic>
    <xdr:clientData/>
  </xdr:twoCellAnchor>
  <xdr:twoCellAnchor>
    <xdr:from>
      <xdr:col>5</xdr:col>
      <xdr:colOff>289560</xdr:colOff>
      <xdr:row>70</xdr:row>
      <xdr:rowOff>45720</xdr:rowOff>
    </xdr:from>
    <xdr:to>
      <xdr:col>10</xdr:col>
      <xdr:colOff>167640</xdr:colOff>
      <xdr:row>77</xdr:row>
      <xdr:rowOff>114300</xdr:rowOff>
    </xdr:to>
    <xdr:sp macro="" textlink="">
      <xdr:nvSpPr>
        <xdr:cNvPr id="5" name="四角形: 角を丸くする 4">
          <a:extLst>
            <a:ext uri="{FF2B5EF4-FFF2-40B4-BE49-F238E27FC236}">
              <a16:creationId xmlns:a16="http://schemas.microsoft.com/office/drawing/2014/main" id="{00000000-0008-0000-0000-000005000000}"/>
            </a:ext>
          </a:extLst>
        </xdr:cNvPr>
        <xdr:cNvSpPr/>
      </xdr:nvSpPr>
      <xdr:spPr>
        <a:xfrm>
          <a:off x="3289935" y="13380720"/>
          <a:ext cx="3778885" cy="1402080"/>
        </a:xfrm>
        <a:prstGeom prst="round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304799</xdr:colOff>
      <xdr:row>115</xdr:row>
      <xdr:rowOff>47625</xdr:rowOff>
    </xdr:from>
    <xdr:to>
      <xdr:col>10</xdr:col>
      <xdr:colOff>419099</xdr:colOff>
      <xdr:row>120</xdr:row>
      <xdr:rowOff>120015</xdr:rowOff>
    </xdr:to>
    <xdr:sp macro="" textlink="">
      <xdr:nvSpPr>
        <xdr:cNvPr id="6" name="四角形: 角を丸くする 5">
          <a:extLst>
            <a:ext uri="{FF2B5EF4-FFF2-40B4-BE49-F238E27FC236}">
              <a16:creationId xmlns:a16="http://schemas.microsoft.com/office/drawing/2014/main" id="{00000000-0008-0000-0000-000006000000}"/>
            </a:ext>
          </a:extLst>
        </xdr:cNvPr>
        <xdr:cNvSpPr/>
      </xdr:nvSpPr>
      <xdr:spPr>
        <a:xfrm>
          <a:off x="3304540" y="21955125"/>
          <a:ext cx="4015105" cy="1024890"/>
        </a:xfrm>
        <a:prstGeom prst="round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295275</xdr:colOff>
      <xdr:row>93</xdr:row>
      <xdr:rowOff>104775</xdr:rowOff>
    </xdr:from>
    <xdr:to>
      <xdr:col>11</xdr:col>
      <xdr:colOff>38100</xdr:colOff>
      <xdr:row>96</xdr:row>
      <xdr:rowOff>104775</xdr:rowOff>
    </xdr:to>
    <xdr:sp macro="" textlink="">
      <xdr:nvSpPr>
        <xdr:cNvPr id="7" name="四角形: 角を丸くする 6">
          <a:extLst>
            <a:ext uri="{FF2B5EF4-FFF2-40B4-BE49-F238E27FC236}">
              <a16:creationId xmlns:a16="http://schemas.microsoft.com/office/drawing/2014/main" id="{00000000-0008-0000-0000-000007000000}"/>
            </a:ext>
          </a:extLst>
        </xdr:cNvPr>
        <xdr:cNvSpPr/>
      </xdr:nvSpPr>
      <xdr:spPr>
        <a:xfrm>
          <a:off x="3295650" y="17821275"/>
          <a:ext cx="4243705" cy="571500"/>
        </a:xfrm>
        <a:prstGeom prst="round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61715</xdr:colOff>
      <xdr:row>6</xdr:row>
      <xdr:rowOff>189933</xdr:rowOff>
    </xdr:from>
    <xdr:to>
      <xdr:col>13</xdr:col>
      <xdr:colOff>532363</xdr:colOff>
      <xdr:row>7</xdr:row>
      <xdr:rowOff>184331</xdr:rowOff>
    </xdr:to>
    <xdr:sp macro="" textlink="">
      <xdr:nvSpPr>
        <xdr:cNvPr id="8" name="左中かっこ 7">
          <a:extLst>
            <a:ext uri="{FF2B5EF4-FFF2-40B4-BE49-F238E27FC236}">
              <a16:creationId xmlns:a16="http://schemas.microsoft.com/office/drawing/2014/main" id="{00000000-0008-0000-0100-000008000000}"/>
            </a:ext>
          </a:extLst>
        </xdr:cNvPr>
        <xdr:cNvSpPr/>
      </xdr:nvSpPr>
      <xdr:spPr>
        <a:xfrm rot="5400000">
          <a:off x="12948920" y="947420"/>
          <a:ext cx="222885" cy="1012190"/>
        </a:xfrm>
        <a:prstGeom prst="leftBrace">
          <a:avLst/>
        </a:prstGeom>
        <a:ln w="190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16</xdr:col>
      <xdr:colOff>44908</xdr:colOff>
      <xdr:row>6</xdr:row>
      <xdr:rowOff>189933</xdr:rowOff>
    </xdr:from>
    <xdr:to>
      <xdr:col>18</xdr:col>
      <xdr:colOff>537966</xdr:colOff>
      <xdr:row>7</xdr:row>
      <xdr:rowOff>173125</xdr:rowOff>
    </xdr:to>
    <xdr:sp macro="" textlink="">
      <xdr:nvSpPr>
        <xdr:cNvPr id="9" name="左中かっこ 8">
          <a:extLst>
            <a:ext uri="{FF2B5EF4-FFF2-40B4-BE49-F238E27FC236}">
              <a16:creationId xmlns:a16="http://schemas.microsoft.com/office/drawing/2014/main" id="{00000000-0008-0000-0100-000009000000}"/>
            </a:ext>
          </a:extLst>
        </xdr:cNvPr>
        <xdr:cNvSpPr/>
      </xdr:nvSpPr>
      <xdr:spPr>
        <a:xfrm rot="5400000">
          <a:off x="15481300" y="707390"/>
          <a:ext cx="211455" cy="1481455"/>
        </a:xfrm>
        <a:prstGeom prst="leftBrace">
          <a:avLst/>
        </a:prstGeom>
        <a:ln w="190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19</xdr:col>
      <xdr:colOff>51648</xdr:colOff>
      <xdr:row>6</xdr:row>
      <xdr:rowOff>196655</xdr:rowOff>
    </xdr:from>
    <xdr:to>
      <xdr:col>21</xdr:col>
      <xdr:colOff>544706</xdr:colOff>
      <xdr:row>7</xdr:row>
      <xdr:rowOff>179847</xdr:rowOff>
    </xdr:to>
    <xdr:sp macro="" textlink="">
      <xdr:nvSpPr>
        <xdr:cNvPr id="10" name="左中かっこ 9">
          <a:extLst>
            <a:ext uri="{FF2B5EF4-FFF2-40B4-BE49-F238E27FC236}">
              <a16:creationId xmlns:a16="http://schemas.microsoft.com/office/drawing/2014/main" id="{00000000-0008-0000-0100-00000A000000}"/>
            </a:ext>
          </a:extLst>
        </xdr:cNvPr>
        <xdr:cNvSpPr/>
      </xdr:nvSpPr>
      <xdr:spPr>
        <a:xfrm rot="5400000">
          <a:off x="17010380" y="717550"/>
          <a:ext cx="211455" cy="1474470"/>
        </a:xfrm>
        <a:prstGeom prst="leftBrace">
          <a:avLst/>
        </a:prstGeom>
        <a:ln w="190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32</xdr:col>
      <xdr:colOff>56065</xdr:colOff>
      <xdr:row>7</xdr:row>
      <xdr:rowOff>12328</xdr:rowOff>
    </xdr:from>
    <xdr:to>
      <xdr:col>34</xdr:col>
      <xdr:colOff>549124</xdr:colOff>
      <xdr:row>7</xdr:row>
      <xdr:rowOff>219637</xdr:rowOff>
    </xdr:to>
    <xdr:sp macro="" textlink="">
      <xdr:nvSpPr>
        <xdr:cNvPr id="13" name="左中かっこ 12">
          <a:extLst>
            <a:ext uri="{FF2B5EF4-FFF2-40B4-BE49-F238E27FC236}">
              <a16:creationId xmlns:a16="http://schemas.microsoft.com/office/drawing/2014/main" id="{00000000-0008-0000-0100-00000D000000}"/>
            </a:ext>
          </a:extLst>
        </xdr:cNvPr>
        <xdr:cNvSpPr/>
      </xdr:nvSpPr>
      <xdr:spPr>
        <a:xfrm rot="5400000">
          <a:off x="27741245" y="762000"/>
          <a:ext cx="207010" cy="1470025"/>
        </a:xfrm>
        <a:prstGeom prst="leftBrace">
          <a:avLst/>
        </a:prstGeom>
        <a:ln w="190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35</xdr:col>
      <xdr:colOff>38784</xdr:colOff>
      <xdr:row>7</xdr:row>
      <xdr:rowOff>7846</xdr:rowOff>
    </xdr:from>
    <xdr:to>
      <xdr:col>37</xdr:col>
      <xdr:colOff>421372</xdr:colOff>
      <xdr:row>7</xdr:row>
      <xdr:rowOff>215155</xdr:rowOff>
    </xdr:to>
    <xdr:sp macro="" textlink="">
      <xdr:nvSpPr>
        <xdr:cNvPr id="15" name="左中かっこ 14">
          <a:extLst>
            <a:ext uri="{FF2B5EF4-FFF2-40B4-BE49-F238E27FC236}">
              <a16:creationId xmlns:a16="http://schemas.microsoft.com/office/drawing/2014/main" id="{00000000-0008-0000-0100-00000F000000}"/>
            </a:ext>
          </a:extLst>
        </xdr:cNvPr>
        <xdr:cNvSpPr/>
      </xdr:nvSpPr>
      <xdr:spPr>
        <a:xfrm rot="5400000">
          <a:off x="29191585" y="815340"/>
          <a:ext cx="207645" cy="1353820"/>
        </a:xfrm>
        <a:prstGeom prst="leftBrace">
          <a:avLst/>
        </a:prstGeom>
        <a:ln w="190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38</xdr:col>
      <xdr:colOff>65321</xdr:colOff>
      <xdr:row>7</xdr:row>
      <xdr:rowOff>19050</xdr:rowOff>
    </xdr:from>
    <xdr:to>
      <xdr:col>40</xdr:col>
      <xdr:colOff>796438</xdr:colOff>
      <xdr:row>7</xdr:row>
      <xdr:rowOff>199050</xdr:rowOff>
    </xdr:to>
    <xdr:sp macro="" textlink="">
      <xdr:nvSpPr>
        <xdr:cNvPr id="17" name="左中かっこ 16">
          <a:extLst>
            <a:ext uri="{FF2B5EF4-FFF2-40B4-BE49-F238E27FC236}">
              <a16:creationId xmlns:a16="http://schemas.microsoft.com/office/drawing/2014/main" id="{00000000-0008-0000-0100-000011000000}"/>
            </a:ext>
          </a:extLst>
        </xdr:cNvPr>
        <xdr:cNvSpPr/>
      </xdr:nvSpPr>
      <xdr:spPr>
        <a:xfrm rot="5400000">
          <a:off x="31015305" y="422275"/>
          <a:ext cx="179705" cy="2134870"/>
        </a:xfrm>
        <a:prstGeom prst="leftBrace">
          <a:avLst/>
        </a:prstGeom>
        <a:ln w="190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41</xdr:col>
      <xdr:colOff>44574</xdr:colOff>
      <xdr:row>7</xdr:row>
      <xdr:rowOff>25775</xdr:rowOff>
    </xdr:from>
    <xdr:to>
      <xdr:col>42</xdr:col>
      <xdr:colOff>618633</xdr:colOff>
      <xdr:row>7</xdr:row>
      <xdr:rowOff>205775</xdr:rowOff>
    </xdr:to>
    <xdr:sp macro="" textlink="">
      <xdr:nvSpPr>
        <xdr:cNvPr id="19" name="左中かっこ 18">
          <a:extLst>
            <a:ext uri="{FF2B5EF4-FFF2-40B4-BE49-F238E27FC236}">
              <a16:creationId xmlns:a16="http://schemas.microsoft.com/office/drawing/2014/main" id="{00000000-0008-0000-0100-000013000000}"/>
            </a:ext>
          </a:extLst>
        </xdr:cNvPr>
        <xdr:cNvSpPr/>
      </xdr:nvSpPr>
      <xdr:spPr>
        <a:xfrm rot="5400000">
          <a:off x="32663130" y="960755"/>
          <a:ext cx="179705" cy="1071880"/>
        </a:xfrm>
        <a:prstGeom prst="leftBrace">
          <a:avLst/>
        </a:prstGeom>
        <a:ln w="190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4</xdr:row>
          <xdr:rowOff>57150</xdr:rowOff>
        </xdr:from>
        <xdr:to>
          <xdr:col>1</xdr:col>
          <xdr:colOff>590550</xdr:colOff>
          <xdr:row>5</xdr:row>
          <xdr:rowOff>171450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ja-JP" altLang="en-US" sz="1400" b="1" i="0" u="none" strike="noStrike" baseline="0">
                  <a:solidFill>
                    <a:srgbClr val="000000"/>
                  </a:solidFill>
                  <a:latin typeface="Meiryo UI"/>
                  <a:ea typeface="Meiryo UI"/>
                </a:rPr>
                <a:t>設定反映</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95250</xdr:colOff>
          <xdr:row>4</xdr:row>
          <xdr:rowOff>57150</xdr:rowOff>
        </xdr:from>
        <xdr:to>
          <xdr:col>3</xdr:col>
          <xdr:colOff>609600</xdr:colOff>
          <xdr:row>5</xdr:row>
          <xdr:rowOff>161925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ja-JP" altLang="en-US" sz="1400" b="1" i="0" u="none" strike="noStrike" baseline="0">
                  <a:solidFill>
                    <a:srgbClr val="000000"/>
                  </a:solidFill>
                  <a:latin typeface="Meiryo UI"/>
                  <a:ea typeface="Meiryo UI"/>
                </a:rPr>
                <a:t>設定解除</a:t>
              </a:r>
            </a:p>
          </xdr:txBody>
        </xdr:sp>
        <xdr:clientData/>
      </xdr:twoCellAnchor>
    </mc:Choice>
    <mc:Fallback/>
  </mc:AlternateContent>
  <xdr:oneCellAnchor>
    <xdr:from>
      <xdr:col>0</xdr:col>
      <xdr:colOff>44817</xdr:colOff>
      <xdr:row>11</xdr:row>
      <xdr:rowOff>6366</xdr:rowOff>
    </xdr:from>
    <xdr:ext cx="2412843" cy="702746"/>
    <xdr:sp macro="" textlink="">
      <xdr:nvSpPr>
        <xdr:cNvPr id="4" name="角丸四角形吹き出し 3">
          <a:extLst>
            <a:ext uri="{FF2B5EF4-FFF2-40B4-BE49-F238E27FC236}">
              <a16:creationId xmlns:a16="http://schemas.microsoft.com/office/drawing/2014/main" id="{00000000-0008-0000-0200-000004000000}"/>
            </a:ext>
          </a:extLst>
        </xdr:cNvPr>
        <xdr:cNvSpPr/>
      </xdr:nvSpPr>
      <xdr:spPr>
        <a:xfrm>
          <a:off x="44450" y="2690495"/>
          <a:ext cx="2413000" cy="702310"/>
        </a:xfrm>
        <a:prstGeom prst="wedgeRoundRectCallout">
          <a:avLst>
            <a:gd name="adj1" fmla="val -24683"/>
            <a:gd name="adj2" fmla="val -243732"/>
            <a:gd name="adj3" fmla="val 16667"/>
          </a:avLst>
        </a:prstGeom>
        <a:ln>
          <a:headEnd type="none" w="med" len="med"/>
          <a:tailEnd type="none" w="med" len="med"/>
        </a:ln>
      </xdr:spPr>
      <xdr:style>
        <a:lnRef idx="1">
          <a:schemeClr val="accent1"/>
        </a:lnRef>
        <a:fillRef idx="3">
          <a:schemeClr val="accent1"/>
        </a:fillRef>
        <a:effectRef idx="2">
          <a:schemeClr val="accent1"/>
        </a:effectRef>
        <a:fontRef idx="minor">
          <a:schemeClr val="lt1"/>
        </a:fontRef>
      </xdr:style>
      <xdr:txBody>
        <a:bodyPr vertOverflow="clip" horzOverflow="clip" wrap="none" lIns="18288" tIns="0" rIns="0" bIns="0" rtlCol="0" anchor="ctr" upright="1">
          <a:spAutoFit/>
        </a:bodyPr>
        <a:lstStyle/>
        <a:p>
          <a:pPr algn="l"/>
          <a:r>
            <a:rPr kumimoji="1" lang="ja-JP" altLang="en-US" sz="1000" b="1">
              <a:latin typeface="Meiryo UI" panose="020B0604030504040204" charset="-128"/>
              <a:ea typeface="Meiryo UI" panose="020B0604030504040204" charset="-128"/>
              <a:cs typeface="Meiryo UI" panose="020B0604030504040204" charset="-128"/>
            </a:rPr>
            <a:t>項目を変更した場合は、</a:t>
          </a:r>
          <a:endParaRPr kumimoji="1" lang="en-US" altLang="ja-JP" sz="1000" b="1">
            <a:latin typeface="Meiryo UI" panose="020B0604030504040204" charset="-128"/>
            <a:ea typeface="Meiryo UI" panose="020B0604030504040204" charset="-128"/>
            <a:cs typeface="Meiryo UI" panose="020B0604030504040204" charset="-128"/>
          </a:endParaRPr>
        </a:p>
        <a:p>
          <a:pPr algn="l"/>
          <a:r>
            <a:rPr kumimoji="1" lang="ja-JP" altLang="en-US" sz="1000" b="1">
              <a:latin typeface="Meiryo UI" panose="020B0604030504040204" charset="-128"/>
              <a:ea typeface="Meiryo UI" panose="020B0604030504040204" charset="-128"/>
              <a:cs typeface="Meiryo UI" panose="020B0604030504040204" charset="-128"/>
            </a:rPr>
            <a:t>必ず「設定の反映」ボタンを押下してください。</a:t>
          </a:r>
          <a:endParaRPr kumimoji="1" lang="en-US" altLang="ja-JP" sz="1000" b="1">
            <a:latin typeface="Meiryo UI" panose="020B0604030504040204" charset="-128"/>
            <a:ea typeface="Meiryo UI" panose="020B0604030504040204" charset="-128"/>
            <a:cs typeface="Meiryo UI" panose="020B0604030504040204" charset="-128"/>
          </a:endParaRPr>
        </a:p>
        <a:p>
          <a:pPr algn="l"/>
          <a:r>
            <a:rPr kumimoji="1" lang="ja-JP" altLang="en-US" sz="1000" b="1">
              <a:latin typeface="Meiryo UI" panose="020B0604030504040204" charset="-128"/>
              <a:ea typeface="Meiryo UI" panose="020B0604030504040204" charset="-128"/>
              <a:cs typeface="Meiryo UI" panose="020B0604030504040204" charset="-128"/>
            </a:rPr>
            <a:t>設定内容が障害票一覧に反映されます。</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3</xdr:col>
      <xdr:colOff>717176</xdr:colOff>
      <xdr:row>0</xdr:row>
      <xdr:rowOff>89648</xdr:rowOff>
    </xdr:from>
    <xdr:to>
      <xdr:col>15</xdr:col>
      <xdr:colOff>470646</xdr:colOff>
      <xdr:row>0</xdr:row>
      <xdr:rowOff>728382</xdr:rowOff>
    </xdr:to>
    <xdr:sp macro="" textlink="">
      <xdr:nvSpPr>
        <xdr:cNvPr id="3" name="正方形/長方形 2">
          <a:extLst>
            <a:ext uri="{FF2B5EF4-FFF2-40B4-BE49-F238E27FC236}">
              <a16:creationId xmlns:a16="http://schemas.microsoft.com/office/drawing/2014/main" id="{00000000-0008-0000-0300-000003000000}"/>
            </a:ext>
          </a:extLst>
        </xdr:cNvPr>
        <xdr:cNvSpPr/>
      </xdr:nvSpPr>
      <xdr:spPr>
        <a:xfrm>
          <a:off x="2642870" y="89535"/>
          <a:ext cx="6398260" cy="638810"/>
        </a:xfrm>
        <a:prstGeom prst="rect">
          <a:avLst/>
        </a:prstGeom>
        <a:noFill/>
        <a:ln>
          <a:noFill/>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horzOverflow="clip" wrap="square" lIns="90000" tIns="46800" rIns="90000" bIns="46800" rtlCol="0" anchor="t" upright="1"/>
        <a:lstStyle/>
        <a:p>
          <a:pPr algn="l"/>
          <a:r>
            <a:rPr kumimoji="1" lang="ja-JP" altLang="en-US" sz="1100" b="1">
              <a:solidFill>
                <a:srgbClr val="FF0000"/>
              </a:solidFill>
              <a:latin typeface="Meiryo UI" panose="020B0604030504040204" charset="-128"/>
              <a:ea typeface="Meiryo UI" panose="020B0604030504040204" charset="-128"/>
              <a:cs typeface="Meiryo UI" panose="020B0604030504040204" charset="-128"/>
            </a:rPr>
            <a:t>各設定で設定内容の追加・削除を行った場合は、必ず「設定の反映</a:t>
          </a:r>
          <a:r>
            <a:rPr kumimoji="1" lang="ja-JP" altLang="ja-JP" sz="1100" b="1">
              <a:solidFill>
                <a:srgbClr val="FF0000"/>
              </a:solidFill>
              <a:effectLst/>
              <a:latin typeface="Meiryo UI" panose="020B0604030504040204" charset="-128"/>
              <a:ea typeface="Meiryo UI" panose="020B0604030504040204" charset="-128"/>
              <a:cs typeface="Meiryo UI" panose="020B0604030504040204" charset="-128"/>
            </a:rPr>
            <a:t>」</a:t>
          </a:r>
          <a:r>
            <a:rPr kumimoji="1" lang="ja-JP" altLang="en-US" sz="1100" b="1">
              <a:solidFill>
                <a:srgbClr val="FF0000"/>
              </a:solidFill>
              <a:latin typeface="Meiryo UI" panose="020B0604030504040204" charset="-128"/>
              <a:ea typeface="Meiryo UI" panose="020B0604030504040204" charset="-128"/>
              <a:cs typeface="Meiryo UI" panose="020B0604030504040204" charset="-128"/>
            </a:rPr>
            <a:t>ボタンを押してください。</a:t>
          </a:r>
          <a:endParaRPr kumimoji="1" lang="en-US" altLang="ja-JP" sz="1100" b="1">
            <a:solidFill>
              <a:srgbClr val="FF0000"/>
            </a:solidFill>
            <a:latin typeface="Meiryo UI" panose="020B0604030504040204" charset="-128"/>
            <a:ea typeface="Meiryo UI" panose="020B0604030504040204" charset="-128"/>
            <a:cs typeface="Meiryo UI" panose="020B0604030504040204" charset="-128"/>
          </a:endParaRPr>
        </a:p>
        <a:p>
          <a:pPr algn="l"/>
          <a:r>
            <a:rPr kumimoji="1" lang="ja-JP" altLang="en-US" sz="1100" b="1">
              <a:solidFill>
                <a:srgbClr val="FF0000"/>
              </a:solidFill>
              <a:latin typeface="Meiryo UI" panose="020B0604030504040204" charset="-128"/>
              <a:ea typeface="Meiryo UI" panose="020B0604030504040204" charset="-128"/>
              <a:cs typeface="Meiryo UI" panose="020B0604030504040204" charset="-128"/>
            </a:rPr>
            <a:t>２行目の設定参照範囲が最新化されます。</a:t>
          </a:r>
        </a:p>
      </xdr:txBody>
    </xdr:sp>
    <xdr:clientData/>
  </xdr:twoCellAnchor>
  <mc:AlternateContent xmlns:mc="http://schemas.openxmlformats.org/markup-compatibility/2006">
    <mc:Choice xmlns:a14="http://schemas.microsoft.com/office/drawing/2010/main" Requires="a14">
      <xdr:twoCellAnchor>
        <xdr:from>
          <xdr:col>0</xdr:col>
          <xdr:colOff>66675</xdr:colOff>
          <xdr:row>0</xdr:row>
          <xdr:rowOff>47625</xdr:rowOff>
        </xdr:from>
        <xdr:to>
          <xdr:col>1</xdr:col>
          <xdr:colOff>1400175</xdr:colOff>
          <xdr:row>0</xdr:row>
          <xdr:rowOff>390525</xdr:rowOff>
        </xdr:to>
        <xdr:sp macro="" textlink="">
          <xdr:nvSpPr>
            <xdr:cNvPr id="2049" name="Button 1" descr="範囲指定の反映"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ja-JP" altLang="en-US" sz="1400" b="1" i="0" u="none" strike="noStrike" baseline="0">
                  <a:solidFill>
                    <a:srgbClr val="000000"/>
                  </a:solidFill>
                  <a:latin typeface="Meiryo UI"/>
                  <a:ea typeface="Meiryo UI"/>
                </a:rPr>
                <a:t>設定の反映</a:t>
              </a:r>
            </a:p>
          </xdr:txBody>
        </xdr:sp>
        <xdr:clientData/>
      </xdr:twoCellAnchor>
    </mc:Choice>
    <mc:Fallback/>
  </mc:AlternateContent>
  <xdr:oneCellAnchor>
    <xdr:from>
      <xdr:col>1</xdr:col>
      <xdr:colOff>1580027</xdr:colOff>
      <xdr:row>0</xdr:row>
      <xdr:rowOff>90646</xdr:rowOff>
    </xdr:from>
    <xdr:ext cx="3585881" cy="548935"/>
    <xdr:sp macro="" textlink="">
      <xdr:nvSpPr>
        <xdr:cNvPr id="4" name="角丸四角形吹き出し 3">
          <a:extLst>
            <a:ext uri="{FF2B5EF4-FFF2-40B4-BE49-F238E27FC236}">
              <a16:creationId xmlns:a16="http://schemas.microsoft.com/office/drawing/2014/main" id="{00000000-0008-0000-0300-000004000000}"/>
            </a:ext>
          </a:extLst>
        </xdr:cNvPr>
        <xdr:cNvSpPr/>
      </xdr:nvSpPr>
      <xdr:spPr>
        <a:xfrm>
          <a:off x="1750695" y="90170"/>
          <a:ext cx="3585845" cy="549275"/>
        </a:xfrm>
        <a:prstGeom prst="wedgeRoundRectCallout">
          <a:avLst>
            <a:gd name="adj1" fmla="val -54529"/>
            <a:gd name="adj2" fmla="val -28356"/>
            <a:gd name="adj3" fmla="val 16667"/>
          </a:avLst>
        </a:prstGeom>
        <a:ln>
          <a:headEnd type="none" w="med" len="med"/>
          <a:tailEnd type="none" w="med" len="med"/>
        </a:ln>
      </xdr:spPr>
      <xdr:style>
        <a:lnRef idx="1">
          <a:schemeClr val="accent1"/>
        </a:lnRef>
        <a:fillRef idx="3">
          <a:schemeClr val="accent1"/>
        </a:fillRef>
        <a:effectRef idx="2">
          <a:schemeClr val="accent1"/>
        </a:effectRef>
        <a:fontRef idx="minor">
          <a:schemeClr val="lt1"/>
        </a:fontRef>
      </xdr:style>
      <xdr:txBody>
        <a:bodyPr vertOverflow="clip" horzOverflow="clip" wrap="square" lIns="36000" tIns="36000" rIns="36000" bIns="36000" rtlCol="0" anchor="ctr" upright="1">
          <a:spAutoFit/>
        </a:bodyPr>
        <a:lstStyle/>
        <a:p>
          <a:pPr algn="l"/>
          <a:r>
            <a:rPr kumimoji="1" lang="ja-JP" altLang="en-US" sz="1000" b="1">
              <a:latin typeface="Meiryo UI" panose="020B0604030504040204" charset="-128"/>
              <a:ea typeface="Meiryo UI" panose="020B0604030504040204" charset="-128"/>
              <a:cs typeface="Meiryo UI" panose="020B0604030504040204" charset="-128"/>
            </a:rPr>
            <a:t>項目を増減した場合は、必ず「設定の反映」ボタンを押下してください。２行目のデータ参照範囲が自動で設定されます。</a:t>
          </a:r>
        </a:p>
      </xdr:txBody>
    </xdr:sp>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76200</xdr:rowOff>
        </xdr:from>
        <xdr:to>
          <xdr:col>1</xdr:col>
          <xdr:colOff>1295400</xdr:colOff>
          <xdr:row>2</xdr:row>
          <xdr:rowOff>0</xdr:rowOff>
        </xdr:to>
        <xdr:sp macro="" textlink="">
          <xdr:nvSpPr>
            <xdr:cNvPr id="3073" name="CancelButton"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ja-JP" altLang="en-US" sz="1400" b="1" i="0" u="none" strike="noStrike" baseline="0">
                  <a:solidFill>
                    <a:srgbClr val="000000"/>
                  </a:solidFill>
                  <a:latin typeface="Meiryo UI"/>
                  <a:ea typeface="Meiryo UI"/>
                </a:rPr>
                <a:t>キャンセル</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0</xdr:row>
          <xdr:rowOff>200025</xdr:rowOff>
        </xdr:from>
        <xdr:to>
          <xdr:col>2</xdr:col>
          <xdr:colOff>438150</xdr:colOff>
          <xdr:row>3</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ja-JP" altLang="en-US" sz="1400" b="1" i="0" u="none" strike="noStrike" baseline="0">
                  <a:solidFill>
                    <a:srgbClr val="000000"/>
                  </a:solidFill>
                  <a:latin typeface="Meiryo UI"/>
                  <a:ea typeface="Meiryo UI"/>
                </a:rPr>
                <a:t>設定の反映</a:t>
              </a:r>
            </a:p>
          </xdr:txBody>
        </xdr:sp>
        <xdr:clientData/>
      </xdr:twoCellAnchor>
    </mc:Choice>
    <mc:Fallback/>
  </mc:AlternateContent>
  <xdr:oneCellAnchor>
    <xdr:from>
      <xdr:col>0</xdr:col>
      <xdr:colOff>89637</xdr:colOff>
      <xdr:row>4</xdr:row>
      <xdr:rowOff>89648</xdr:rowOff>
    </xdr:from>
    <xdr:ext cx="2712908" cy="1171243"/>
    <xdr:sp macro="" textlink="">
      <xdr:nvSpPr>
        <xdr:cNvPr id="3" name="角丸四角形吹き出し 2">
          <a:extLst>
            <a:ext uri="{FF2B5EF4-FFF2-40B4-BE49-F238E27FC236}">
              <a16:creationId xmlns:a16="http://schemas.microsoft.com/office/drawing/2014/main" id="{00000000-0008-0000-0500-000003000000}"/>
            </a:ext>
          </a:extLst>
        </xdr:cNvPr>
        <xdr:cNvSpPr/>
      </xdr:nvSpPr>
      <xdr:spPr>
        <a:xfrm>
          <a:off x="89535" y="889635"/>
          <a:ext cx="2712720" cy="1170940"/>
        </a:xfrm>
        <a:prstGeom prst="wedgeRoundRectCallout">
          <a:avLst>
            <a:gd name="adj1" fmla="val -28332"/>
            <a:gd name="adj2" fmla="val -63007"/>
            <a:gd name="adj3" fmla="val 16667"/>
          </a:avLst>
        </a:prstGeom>
        <a:ln>
          <a:headEnd type="none" w="med" len="med"/>
          <a:tailEnd type="none" w="med" len="med"/>
        </a:ln>
      </xdr:spPr>
      <xdr:style>
        <a:lnRef idx="1">
          <a:schemeClr val="accent1"/>
        </a:lnRef>
        <a:fillRef idx="3">
          <a:schemeClr val="accent1"/>
        </a:fillRef>
        <a:effectRef idx="2">
          <a:schemeClr val="accent1"/>
        </a:effectRef>
        <a:fontRef idx="minor">
          <a:schemeClr val="lt1"/>
        </a:fontRef>
      </xdr:style>
      <xdr:txBody>
        <a:bodyPr vertOverflow="clip" horzOverflow="clip" wrap="none" lIns="18288" tIns="0" rIns="0" bIns="0" rtlCol="0" anchor="t" upright="1">
          <a:spAutoFit/>
        </a:bodyPr>
        <a:lstStyle/>
        <a:p>
          <a:pPr algn="l"/>
          <a:r>
            <a:rPr kumimoji="1" lang="ja-JP" altLang="en-US" sz="1000" b="1">
              <a:latin typeface="Meiryo UI" panose="020B0604030504040204" charset="-128"/>
              <a:ea typeface="Meiryo UI" panose="020B0604030504040204" charset="-128"/>
              <a:cs typeface="Meiryo UI" panose="020B0604030504040204" charset="-128"/>
            </a:rPr>
            <a:t>サブシステム、業務プロセス、プロセスを記入後は、</a:t>
          </a:r>
          <a:endParaRPr kumimoji="1" lang="en-US" altLang="ja-JP" sz="1000" b="1">
            <a:latin typeface="Meiryo UI" panose="020B0604030504040204" charset="-128"/>
            <a:ea typeface="Meiryo UI" panose="020B0604030504040204" charset="-128"/>
            <a:cs typeface="Meiryo UI" panose="020B0604030504040204" charset="-128"/>
          </a:endParaRPr>
        </a:p>
        <a:p>
          <a:pPr algn="l"/>
          <a:r>
            <a:rPr kumimoji="1" lang="ja-JP" altLang="en-US" sz="1000" b="1">
              <a:latin typeface="Meiryo UI" panose="020B0604030504040204" charset="-128"/>
              <a:ea typeface="Meiryo UI" panose="020B0604030504040204" charset="-128"/>
              <a:cs typeface="Meiryo UI" panose="020B0604030504040204" charset="-128"/>
            </a:rPr>
            <a:t>必ず「設定の反映」ボタンを押下してください。</a:t>
          </a:r>
          <a:endParaRPr kumimoji="1" lang="en-US" altLang="ja-JP" sz="1000" b="1">
            <a:latin typeface="Meiryo UI" panose="020B0604030504040204" charset="-128"/>
            <a:ea typeface="Meiryo UI" panose="020B0604030504040204" charset="-128"/>
            <a:cs typeface="Meiryo UI" panose="020B0604030504040204" charset="-128"/>
          </a:endParaRPr>
        </a:p>
        <a:p>
          <a:pPr algn="l"/>
          <a:r>
            <a:rPr kumimoji="1" lang="ja-JP" altLang="en-US" sz="1000" b="1">
              <a:latin typeface="Meiryo UI" panose="020B0604030504040204" charset="-128"/>
              <a:ea typeface="Meiryo UI" panose="020B0604030504040204" charset="-128"/>
              <a:cs typeface="Meiryo UI" panose="020B0604030504040204" charset="-128"/>
            </a:rPr>
            <a:t>シート：「レビュー票」の</a:t>
          </a:r>
          <a:endParaRPr kumimoji="1" lang="en-US" altLang="ja-JP" sz="1000" b="1">
            <a:latin typeface="Meiryo UI" panose="020B0604030504040204" charset="-128"/>
            <a:ea typeface="Meiryo UI" panose="020B0604030504040204" charset="-128"/>
            <a:cs typeface="Meiryo UI" panose="020B0604030504040204" charset="-128"/>
          </a:endParaRPr>
        </a:p>
        <a:p>
          <a:pPr algn="l"/>
          <a:r>
            <a:rPr kumimoji="1" lang="ja-JP" altLang="en-US" sz="1000" b="1">
              <a:latin typeface="Meiryo UI" panose="020B0604030504040204" charset="-128"/>
              <a:ea typeface="Meiryo UI" panose="020B0604030504040204" charset="-128"/>
              <a:cs typeface="Meiryo UI" panose="020B0604030504040204" charset="-128"/>
            </a:rPr>
            <a:t>サブシステム、業務プロセス、プロセス、</a:t>
          </a:r>
        </a:p>
        <a:p>
          <a:pPr algn="l"/>
          <a:r>
            <a:rPr kumimoji="1" lang="ja-JP" altLang="en-US" sz="1000" b="1">
              <a:latin typeface="Meiryo UI" panose="020B0604030504040204" charset="-128"/>
              <a:ea typeface="Meiryo UI" panose="020B0604030504040204" charset="-128"/>
              <a:cs typeface="Meiryo UI" panose="020B0604030504040204" charset="-128"/>
            </a:rPr>
            <a:t>でリスト化され、選択できるようになります。</a:t>
          </a:r>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5</xdr:col>
      <xdr:colOff>593918</xdr:colOff>
      <xdr:row>10</xdr:row>
      <xdr:rowOff>22414</xdr:rowOff>
    </xdr:from>
    <xdr:to>
      <xdr:col>7</xdr:col>
      <xdr:colOff>606245</xdr:colOff>
      <xdr:row>17</xdr:row>
      <xdr:rowOff>48748</xdr:rowOff>
    </xdr:to>
    <xdr:sp macro="" textlink="">
      <xdr:nvSpPr>
        <xdr:cNvPr id="2" name="AutoShape 64">
          <a:extLst>
            <a:ext uri="{FF2B5EF4-FFF2-40B4-BE49-F238E27FC236}">
              <a16:creationId xmlns:a16="http://schemas.microsoft.com/office/drawing/2014/main" id="{00000000-0008-0000-0600-000002000000}"/>
            </a:ext>
          </a:extLst>
        </xdr:cNvPr>
        <xdr:cNvSpPr>
          <a:spLocks noChangeArrowheads="1"/>
        </xdr:cNvSpPr>
      </xdr:nvSpPr>
      <xdr:spPr>
        <a:xfrm>
          <a:off x="2401570" y="2622550"/>
          <a:ext cx="2061845" cy="2826385"/>
        </a:xfrm>
        <a:prstGeom prst="wedgeRoundRectCallout">
          <a:avLst>
            <a:gd name="adj1" fmla="val -7058"/>
            <a:gd name="adj2" fmla="val -15096"/>
            <a:gd name="adj3" fmla="val 16667"/>
          </a:avLst>
        </a:prstGeom>
        <a:solidFill>
          <a:srgbClr xmlns:mc="http://schemas.openxmlformats.org/markup-compatibility/2006" xmlns:a14="http://schemas.microsoft.com/office/drawing/2010/main" val="CCFFFF" mc:Ignorable="a14" a14:legacySpreadsheetColorIndex="41"/>
        </a:solidFill>
        <a:ln w="9525">
          <a:solidFill>
            <a:srgbClr xmlns:mc="http://schemas.openxmlformats.org/markup-compatibility/2006" xmlns:a14="http://schemas.microsoft.com/office/drawing/2010/main" val="000000" mc:Ignorable="a14" a14:legacySpreadsheetColorIndex="64"/>
          </a:solidFill>
          <a:miter lim="800000"/>
        </a:ln>
      </xdr:spPr>
      <xdr:txBody>
        <a:bodyPr vertOverflow="clip" wrap="square" lIns="27432" tIns="18288" rIns="0" bIns="18288" anchor="ctr" upright="1"/>
        <a:lstStyle/>
        <a:p>
          <a:pPr algn="l" rtl="0">
            <a:lnSpc>
              <a:spcPts val="1000"/>
            </a:lnSpc>
            <a:defRPr sz="1000"/>
          </a:pPr>
          <a:r>
            <a:rPr lang="ja-JP" altLang="en-US" sz="1000" b="0" i="0" baseline="0">
              <a:effectLst/>
              <a:latin typeface="Meiryo UI" panose="020B0604030504040204" charset="-128"/>
              <a:ea typeface="Meiryo UI" panose="020B0604030504040204" charset="-128"/>
              <a:cs typeface="Meiryo UI" panose="020B0604030504040204" charset="-128"/>
            </a:rPr>
            <a:t>設定シートの内容が反映されますので、変更の必要はありません。</a:t>
          </a:r>
          <a:endParaRPr lang="ja-JP" altLang="en-US" sz="900" b="0" i="0" u="none" strike="noStrike" baseline="0">
            <a:solidFill>
              <a:srgbClr val="000000"/>
            </a:solidFill>
            <a:latin typeface="Meiryo UI" panose="020B0604030504040204" charset="-128"/>
            <a:ea typeface="Meiryo UI" panose="020B0604030504040204" charset="-128"/>
            <a:cs typeface="Meiryo UI" panose="020B0604030504040204" charset="-128"/>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A1:K84"/>
  <sheetViews>
    <sheetView zoomScale="80" zoomScaleNormal="80" workbookViewId="0">
      <pane ySplit="1" topLeftCell="A2" activePane="bottomLeft" state="frozen"/>
      <selection pane="bottomLeft" activeCell="A2" sqref="A2"/>
    </sheetView>
  </sheetViews>
  <sheetFormatPr defaultColWidth="9" defaultRowHeight="13.5" x14ac:dyDescent="0.15"/>
  <cols>
    <col min="6" max="6" width="13.25" customWidth="1"/>
    <col min="7" max="8" width="13.625" customWidth="1"/>
  </cols>
  <sheetData>
    <row r="1" spans="1:11" x14ac:dyDescent="0.15">
      <c r="C1" t="s">
        <v>0</v>
      </c>
      <c r="E1" t="s">
        <v>1</v>
      </c>
      <c r="J1" t="s">
        <v>2</v>
      </c>
    </row>
    <row r="4" spans="1:11" x14ac:dyDescent="0.15">
      <c r="A4" t="s">
        <v>3</v>
      </c>
    </row>
    <row r="5" spans="1:11" x14ac:dyDescent="0.15">
      <c r="A5" t="s">
        <v>4</v>
      </c>
    </row>
    <row r="6" spans="1:11" x14ac:dyDescent="0.15">
      <c r="B6" s="162" t="s">
        <v>5</v>
      </c>
    </row>
    <row r="7" spans="1:11" x14ac:dyDescent="0.15">
      <c r="B7" s="162"/>
    </row>
    <row r="8" spans="1:11" x14ac:dyDescent="0.15">
      <c r="B8" s="162"/>
      <c r="C8" s="163" t="s">
        <v>6</v>
      </c>
      <c r="E8" s="163" t="s">
        <v>6</v>
      </c>
      <c r="F8" s="163" t="s">
        <v>7</v>
      </c>
      <c r="G8" s="163" t="s">
        <v>8</v>
      </c>
      <c r="H8" s="163" t="s">
        <v>9</v>
      </c>
      <c r="J8" s="163" t="s">
        <v>6</v>
      </c>
      <c r="K8" s="163" t="s">
        <v>10</v>
      </c>
    </row>
    <row r="9" spans="1:11" x14ac:dyDescent="0.15">
      <c r="B9" s="162"/>
      <c r="C9" s="164" t="s">
        <v>11</v>
      </c>
      <c r="E9" s="164" t="s">
        <v>11</v>
      </c>
      <c r="F9" s="167" t="s">
        <v>12</v>
      </c>
      <c r="G9" s="164">
        <v>5</v>
      </c>
      <c r="H9" s="164" t="s">
        <v>13</v>
      </c>
      <c r="I9" s="166" t="s">
        <v>14</v>
      </c>
      <c r="J9" s="164" t="s">
        <v>11</v>
      </c>
      <c r="K9" s="164">
        <v>4</v>
      </c>
    </row>
    <row r="10" spans="1:11" x14ac:dyDescent="0.15">
      <c r="B10" s="162"/>
      <c r="E10" s="164" t="s">
        <v>11</v>
      </c>
      <c r="F10" s="167" t="s">
        <v>15</v>
      </c>
      <c r="G10" s="164">
        <v>5</v>
      </c>
      <c r="H10" s="164" t="s">
        <v>13</v>
      </c>
    </row>
    <row r="11" spans="1:11" x14ac:dyDescent="0.15">
      <c r="B11" s="162"/>
      <c r="E11" s="164" t="s">
        <v>11</v>
      </c>
      <c r="F11" s="167" t="s">
        <v>16</v>
      </c>
      <c r="G11" s="164">
        <v>3</v>
      </c>
      <c r="H11" s="164" t="s">
        <v>13</v>
      </c>
    </row>
    <row r="12" spans="1:11" x14ac:dyDescent="0.15">
      <c r="B12" s="162"/>
      <c r="E12" s="164" t="s">
        <v>11</v>
      </c>
      <c r="F12" s="167" t="s">
        <v>17</v>
      </c>
      <c r="G12" s="164">
        <v>3</v>
      </c>
      <c r="H12" s="164" t="s">
        <v>13</v>
      </c>
    </row>
    <row r="14" spans="1:11" x14ac:dyDescent="0.15">
      <c r="A14" t="s">
        <v>18</v>
      </c>
    </row>
    <row r="15" spans="1:11" x14ac:dyDescent="0.15">
      <c r="B15" s="162"/>
      <c r="C15" s="163" t="s">
        <v>6</v>
      </c>
      <c r="E15" s="163" t="s">
        <v>6</v>
      </c>
      <c r="F15" s="163" t="s">
        <v>7</v>
      </c>
      <c r="G15" s="163" t="s">
        <v>8</v>
      </c>
      <c r="H15" s="163" t="s">
        <v>9</v>
      </c>
      <c r="J15" s="163" t="s">
        <v>6</v>
      </c>
      <c r="K15" s="163" t="s">
        <v>10</v>
      </c>
    </row>
    <row r="16" spans="1:11" x14ac:dyDescent="0.15">
      <c r="B16" s="162"/>
      <c r="C16" s="165" t="s">
        <v>11</v>
      </c>
      <c r="E16" s="164" t="s">
        <v>11</v>
      </c>
      <c r="F16" s="167" t="s">
        <v>12</v>
      </c>
      <c r="G16" s="165">
        <v>5</v>
      </c>
      <c r="H16" s="165" t="s">
        <v>19</v>
      </c>
      <c r="I16" s="166"/>
      <c r="J16" s="164" t="s">
        <v>11</v>
      </c>
      <c r="K16" s="164">
        <v>4</v>
      </c>
    </row>
    <row r="17" spans="1:11" x14ac:dyDescent="0.15">
      <c r="B17" s="162"/>
      <c r="E17" s="164" t="s">
        <v>11</v>
      </c>
      <c r="F17" s="167" t="s">
        <v>15</v>
      </c>
      <c r="G17" s="165">
        <v>5</v>
      </c>
      <c r="H17" s="165" t="s">
        <v>19</v>
      </c>
    </row>
    <row r="18" spans="1:11" x14ac:dyDescent="0.15">
      <c r="B18" s="162"/>
      <c r="E18" s="164" t="s">
        <v>11</v>
      </c>
      <c r="F18" s="167" t="s">
        <v>16</v>
      </c>
      <c r="G18" s="165">
        <v>3</v>
      </c>
      <c r="H18" s="165" t="s">
        <v>19</v>
      </c>
    </row>
    <row r="19" spans="1:11" x14ac:dyDescent="0.15">
      <c r="B19" s="162"/>
      <c r="E19" s="164" t="s">
        <v>11</v>
      </c>
      <c r="F19" s="167" t="s">
        <v>17</v>
      </c>
      <c r="G19" s="165">
        <v>3</v>
      </c>
      <c r="H19" s="165" t="s">
        <v>19</v>
      </c>
    </row>
    <row r="21" spans="1:11" x14ac:dyDescent="0.15">
      <c r="A21" t="s">
        <v>20</v>
      </c>
    </row>
    <row r="22" spans="1:11" x14ac:dyDescent="0.15">
      <c r="B22" t="s">
        <v>21</v>
      </c>
    </row>
    <row r="23" spans="1:11" x14ac:dyDescent="0.15">
      <c r="B23" s="162"/>
      <c r="C23" s="163" t="s">
        <v>6</v>
      </c>
      <c r="E23" s="163" t="s">
        <v>6</v>
      </c>
      <c r="F23" s="163" t="s">
        <v>7</v>
      </c>
      <c r="G23" s="163" t="s">
        <v>8</v>
      </c>
      <c r="H23" s="163" t="s">
        <v>9</v>
      </c>
      <c r="J23" s="163" t="s">
        <v>6</v>
      </c>
      <c r="K23" s="163" t="s">
        <v>10</v>
      </c>
    </row>
    <row r="24" spans="1:11" x14ac:dyDescent="0.15">
      <c r="B24" s="162"/>
      <c r="C24" s="165" t="s">
        <v>11</v>
      </c>
      <c r="E24" s="164" t="s">
        <v>11</v>
      </c>
      <c r="F24" s="167" t="s">
        <v>12</v>
      </c>
      <c r="G24" s="165">
        <v>5</v>
      </c>
      <c r="H24" s="165" t="s">
        <v>19</v>
      </c>
      <c r="I24" s="166"/>
      <c r="J24" s="164" t="s">
        <v>11</v>
      </c>
      <c r="K24" s="164">
        <v>4</v>
      </c>
    </row>
    <row r="25" spans="1:11" x14ac:dyDescent="0.15">
      <c r="B25" s="162"/>
      <c r="C25" s="164" t="s">
        <v>11</v>
      </c>
      <c r="E25" s="164" t="s">
        <v>11</v>
      </c>
      <c r="F25" s="167" t="s">
        <v>15</v>
      </c>
      <c r="G25" s="165">
        <v>5</v>
      </c>
      <c r="H25" s="165" t="s">
        <v>19</v>
      </c>
    </row>
    <row r="26" spans="1:11" x14ac:dyDescent="0.15">
      <c r="B26" s="162"/>
      <c r="E26" s="164" t="s">
        <v>11</v>
      </c>
      <c r="F26" s="167" t="s">
        <v>16</v>
      </c>
      <c r="G26" s="165">
        <v>3</v>
      </c>
      <c r="H26" s="165" t="s">
        <v>19</v>
      </c>
    </row>
    <row r="27" spans="1:11" x14ac:dyDescent="0.15">
      <c r="B27" s="162"/>
      <c r="E27" s="164" t="s">
        <v>11</v>
      </c>
      <c r="F27" s="167" t="s">
        <v>17</v>
      </c>
      <c r="G27" s="165">
        <v>3</v>
      </c>
      <c r="H27" s="165" t="s">
        <v>19</v>
      </c>
    </row>
    <row r="31" spans="1:11" x14ac:dyDescent="0.15">
      <c r="A31" t="s">
        <v>22</v>
      </c>
    </row>
    <row r="32" spans="1:11" x14ac:dyDescent="0.15">
      <c r="C32" s="163" t="s">
        <v>6</v>
      </c>
      <c r="E32" s="163" t="s">
        <v>6</v>
      </c>
      <c r="F32" s="163" t="s">
        <v>7</v>
      </c>
      <c r="G32" s="163" t="s">
        <v>8</v>
      </c>
      <c r="H32" s="163" t="s">
        <v>9</v>
      </c>
      <c r="J32" s="163" t="s">
        <v>6</v>
      </c>
      <c r="K32" s="163" t="s">
        <v>10</v>
      </c>
    </row>
    <row r="33" spans="1:11" x14ac:dyDescent="0.15">
      <c r="C33" s="165" t="s">
        <v>11</v>
      </c>
      <c r="E33" s="164" t="s">
        <v>11</v>
      </c>
      <c r="F33" s="167" t="s">
        <v>12</v>
      </c>
      <c r="G33" s="165">
        <v>5</v>
      </c>
      <c r="H33" s="165" t="s">
        <v>19</v>
      </c>
      <c r="I33" s="166" t="s">
        <v>14</v>
      </c>
      <c r="J33" s="165" t="s">
        <v>11</v>
      </c>
      <c r="K33" s="165">
        <v>4</v>
      </c>
    </row>
    <row r="34" spans="1:11" x14ac:dyDescent="0.15">
      <c r="C34" s="164" t="s">
        <v>11</v>
      </c>
      <c r="E34" s="164" t="s">
        <v>11</v>
      </c>
      <c r="F34" s="167" t="s">
        <v>15</v>
      </c>
      <c r="G34" s="165">
        <v>5</v>
      </c>
      <c r="H34" s="165" t="s">
        <v>19</v>
      </c>
    </row>
    <row r="35" spans="1:11" x14ac:dyDescent="0.15">
      <c r="E35" s="164" t="s">
        <v>11</v>
      </c>
      <c r="F35" s="167" t="s">
        <v>16</v>
      </c>
      <c r="G35" s="165">
        <v>3</v>
      </c>
      <c r="H35" s="165" t="s">
        <v>19</v>
      </c>
    </row>
    <row r="36" spans="1:11" x14ac:dyDescent="0.15">
      <c r="E36" s="164" t="s">
        <v>11</v>
      </c>
      <c r="F36" s="167" t="s">
        <v>17</v>
      </c>
      <c r="G36" s="165">
        <v>3</v>
      </c>
      <c r="H36" s="165" t="s">
        <v>19</v>
      </c>
    </row>
    <row r="38" spans="1:11" x14ac:dyDescent="0.15">
      <c r="A38" t="s">
        <v>23</v>
      </c>
    </row>
    <row r="83" spans="1:2" x14ac:dyDescent="0.15">
      <c r="A83" t="s">
        <v>24</v>
      </c>
    </row>
    <row r="84" spans="1:2" x14ac:dyDescent="0.15">
      <c r="B84" t="s">
        <v>25</v>
      </c>
    </row>
  </sheetData>
  <phoneticPr fontId="38"/>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BB96"/>
  <sheetViews>
    <sheetView showGridLines="0" tabSelected="1" zoomScale="85" zoomScaleNormal="85" zoomScaleSheetLayoutView="85" zoomScalePageLayoutView="85" workbookViewId="0">
      <pane xSplit="6" ySplit="8" topLeftCell="G9" activePane="bottomRight" state="frozen"/>
      <selection pane="topRight"/>
      <selection pane="bottomLeft"/>
      <selection pane="bottomRight" activeCell="G9" sqref="G9"/>
    </sheetView>
  </sheetViews>
  <sheetFormatPr defaultColWidth="9" defaultRowHeight="15.75" x14ac:dyDescent="0.15"/>
  <cols>
    <col min="1" max="1" width="5.625" style="106" customWidth="1"/>
    <col min="2" max="2" width="2.875" style="106" customWidth="1"/>
    <col min="3" max="4" width="14.125" style="106" customWidth="1"/>
    <col min="5" max="5" width="11" style="106" customWidth="1"/>
    <col min="6" max="6" width="14.875" style="106" customWidth="1"/>
    <col min="7" max="7" width="13.375" style="106" customWidth="1"/>
    <col min="8" max="8" width="6.375" style="106" customWidth="1"/>
    <col min="9" max="10" width="5.625" style="106" customWidth="1"/>
    <col min="11" max="11" width="36.375" style="106" customWidth="1"/>
    <col min="12" max="12" width="57.375" style="106" customWidth="1"/>
    <col min="13" max="13" width="8.125" style="106" customWidth="1"/>
    <col min="14" max="14" width="9.875" style="106" customWidth="1"/>
    <col min="15" max="15" width="11.625" style="106" customWidth="1"/>
    <col min="16" max="16" width="5" style="106" customWidth="1"/>
    <col min="17" max="22" width="7.625" style="106" customWidth="1"/>
    <col min="23" max="24" width="5" style="106" customWidth="1"/>
    <col min="25" max="25" width="7.625" style="106" customWidth="1"/>
    <col min="26" max="26" width="6.625" style="106" customWidth="1"/>
    <col min="27" max="30" width="6.25" style="106" customWidth="1"/>
    <col min="31" max="32" width="44.375" style="106" customWidth="1"/>
    <col min="33" max="37" width="7.625" style="106" customWidth="1"/>
    <col min="38" max="38" width="5.625" style="106" customWidth="1"/>
    <col min="39" max="41" width="11" style="106" customWidth="1"/>
    <col min="42" max="43" width="8.375" style="106" customWidth="1"/>
    <col min="44" max="46" width="6.875" style="106" customWidth="1"/>
    <col min="47" max="47" width="7.625" style="106" customWidth="1"/>
    <col min="48" max="49" width="6" style="106" customWidth="1"/>
    <col min="50" max="51" width="6.375" style="106" customWidth="1"/>
    <col min="52" max="52" width="9.125" style="106" customWidth="1"/>
    <col min="53" max="53" width="3.375" style="106" customWidth="1"/>
    <col min="54" max="54" width="44.375" style="106" customWidth="1"/>
    <col min="55" max="16384" width="9" style="106"/>
  </cols>
  <sheetData>
    <row r="1" spans="1:54" ht="12" customHeight="1" x14ac:dyDescent="0.15">
      <c r="A1" s="171" t="s">
        <v>26</v>
      </c>
      <c r="B1" s="171"/>
      <c r="C1" s="171"/>
      <c r="D1" s="107"/>
      <c r="E1" s="93"/>
      <c r="F1" s="93"/>
    </row>
    <row r="2" spans="1:54" ht="15.75" customHeight="1" x14ac:dyDescent="0.15">
      <c r="A2" s="171"/>
      <c r="B2" s="171"/>
      <c r="C2" s="171"/>
      <c r="D2" s="108" t="s">
        <v>27</v>
      </c>
      <c r="E2" s="173" t="s">
        <v>28</v>
      </c>
      <c r="F2" s="174"/>
      <c r="G2" s="108" t="s">
        <v>29</v>
      </c>
      <c r="H2" s="173" t="s">
        <v>30</v>
      </c>
      <c r="I2" s="175"/>
      <c r="J2" s="175"/>
      <c r="K2" s="174"/>
      <c r="L2" s="108" t="s">
        <v>31</v>
      </c>
      <c r="M2" s="134">
        <f>SUMPRODUCT(($H$9:$H$96&lt;&gt;"")*($B$9:$B$96&lt;&gt;"x"))</f>
        <v>28</v>
      </c>
      <c r="N2" s="93" t="s">
        <v>32</v>
      </c>
      <c r="O2" s="93"/>
      <c r="P2" s="93"/>
      <c r="Q2" s="93"/>
      <c r="R2" s="93"/>
      <c r="S2" s="93"/>
      <c r="T2" s="93"/>
      <c r="U2" s="93"/>
      <c r="V2" s="93"/>
      <c r="W2" s="93"/>
      <c r="X2" s="93"/>
      <c r="Y2" s="93"/>
      <c r="Z2" s="93"/>
      <c r="AA2" s="93"/>
      <c r="AB2" s="93"/>
      <c r="AC2" s="93"/>
      <c r="AD2" s="93"/>
      <c r="AE2" s="93"/>
      <c r="AF2" s="93"/>
      <c r="AG2" s="93"/>
      <c r="AH2" s="93"/>
      <c r="AI2" s="93"/>
      <c r="AJ2" s="93"/>
      <c r="AK2" s="93"/>
      <c r="AL2" s="93"/>
      <c r="AM2" s="93"/>
      <c r="AN2" s="93"/>
      <c r="AO2" s="93"/>
      <c r="AP2" s="93"/>
      <c r="AQ2" s="93"/>
      <c r="AR2" s="93"/>
      <c r="AS2" s="93"/>
      <c r="AT2" s="93"/>
      <c r="AU2" s="93"/>
      <c r="AV2" s="93"/>
      <c r="AW2" s="93"/>
      <c r="AX2" s="93"/>
      <c r="AY2" s="93"/>
      <c r="AZ2" s="93"/>
    </row>
    <row r="3" spans="1:54" ht="15.75" customHeight="1" x14ac:dyDescent="0.15">
      <c r="A3" s="171"/>
      <c r="B3" s="171"/>
      <c r="C3" s="171"/>
      <c r="D3" s="109" t="s">
        <v>33</v>
      </c>
      <c r="E3" s="173" t="s">
        <v>28</v>
      </c>
      <c r="F3" s="174"/>
      <c r="G3" s="110" t="s">
        <v>34</v>
      </c>
      <c r="H3" s="176" t="s">
        <v>35</v>
      </c>
      <c r="I3" s="177"/>
      <c r="J3" s="177"/>
      <c r="K3" s="178"/>
      <c r="L3" s="109" t="s">
        <v>36</v>
      </c>
      <c r="M3" s="134">
        <f>SUMPRODUCT(($H$9:$H$96&lt;&gt;"")*($B$9:$B$96&lt;&gt;"x")*($AB$9:$AB$96&lt;&gt;""))</f>
        <v>28</v>
      </c>
      <c r="N3" s="93" t="s">
        <v>32</v>
      </c>
      <c r="O3" s="93"/>
      <c r="P3" s="93"/>
      <c r="Q3" s="93"/>
      <c r="R3" s="93"/>
      <c r="S3" s="93"/>
      <c r="T3" s="93"/>
      <c r="U3" s="93"/>
      <c r="V3" s="93"/>
      <c r="W3" s="93"/>
      <c r="X3" s="93"/>
      <c r="Y3" s="93"/>
      <c r="Z3" s="93"/>
      <c r="AA3" s="93"/>
      <c r="AB3" s="93"/>
      <c r="AC3" s="93"/>
      <c r="AD3" s="93"/>
      <c r="AE3" s="93"/>
      <c r="AF3" s="93"/>
      <c r="AG3" s="93"/>
      <c r="AH3" s="93"/>
      <c r="AI3" s="93"/>
      <c r="AJ3" s="93"/>
      <c r="AK3" s="93"/>
      <c r="AL3" s="93"/>
      <c r="AM3" s="93"/>
      <c r="AN3" s="93"/>
      <c r="AO3" s="93"/>
      <c r="AP3" s="93"/>
      <c r="AQ3" s="93"/>
      <c r="AR3" s="93"/>
      <c r="AS3" s="93"/>
      <c r="AT3" s="93"/>
      <c r="AU3" s="93"/>
      <c r="AV3" s="93"/>
      <c r="AW3" s="93"/>
      <c r="AX3" s="93"/>
      <c r="AY3" s="93"/>
      <c r="AZ3" s="93"/>
    </row>
    <row r="4" spans="1:54" ht="15.75" customHeight="1" x14ac:dyDescent="0.15">
      <c r="A4" s="172"/>
      <c r="B4" s="172"/>
      <c r="C4" s="172"/>
      <c r="D4" s="109" t="s">
        <v>37</v>
      </c>
      <c r="E4" s="173" t="s">
        <v>28</v>
      </c>
      <c r="F4" s="174"/>
      <c r="G4" s="111"/>
      <c r="H4" s="111"/>
      <c r="I4" s="135"/>
      <c r="J4" s="135"/>
      <c r="K4" s="136"/>
      <c r="L4" s="109" t="s">
        <v>38</v>
      </c>
      <c r="M4" s="134">
        <f>SUMPRODUCT(($H$9:$H$96&lt;&gt;"")*($B$9:$B$96&lt;&gt;"x")*($AW$9:$AW$96&lt;&gt;""))</f>
        <v>28</v>
      </c>
      <c r="N4" s="93" t="s">
        <v>32</v>
      </c>
      <c r="O4" s="93"/>
      <c r="P4" s="93"/>
      <c r="Q4" s="93"/>
      <c r="R4" s="93"/>
      <c r="S4" s="93"/>
      <c r="T4" s="93"/>
      <c r="U4" s="93"/>
      <c r="V4" s="93"/>
      <c r="W4" s="93"/>
      <c r="X4" s="93"/>
      <c r="Y4" s="93"/>
      <c r="Z4" s="93"/>
      <c r="AA4" s="93"/>
      <c r="AB4" s="93"/>
      <c r="AC4" s="93"/>
      <c r="AD4" s="93"/>
      <c r="AE4" s="93"/>
      <c r="AF4" s="93"/>
      <c r="AG4" s="93"/>
      <c r="AH4" s="93"/>
      <c r="AI4" s="93"/>
      <c r="AJ4" s="93"/>
      <c r="AK4" s="93"/>
      <c r="AL4" s="93"/>
      <c r="AM4" s="93"/>
      <c r="AN4" s="93"/>
      <c r="AO4" s="93"/>
      <c r="AP4" s="93"/>
      <c r="AQ4" s="93"/>
      <c r="AR4" s="93"/>
      <c r="AS4" s="93"/>
      <c r="AT4" s="93"/>
      <c r="AU4" s="93"/>
      <c r="AV4" s="93"/>
      <c r="AW4" s="93"/>
      <c r="AX4" s="93"/>
      <c r="AY4" s="93"/>
      <c r="AZ4" s="93"/>
    </row>
    <row r="5" spans="1:54" x14ac:dyDescent="0.15">
      <c r="A5" s="93"/>
      <c r="B5" s="93"/>
      <c r="C5" s="93"/>
      <c r="D5" s="93"/>
      <c r="E5" s="112" t="s">
        <v>39</v>
      </c>
      <c r="F5" s="93"/>
      <c r="G5" s="93"/>
      <c r="H5" s="93"/>
      <c r="I5" s="93"/>
      <c r="J5" s="93"/>
      <c r="K5" s="93"/>
      <c r="L5" s="93"/>
      <c r="M5" s="93"/>
      <c r="N5" s="93"/>
      <c r="O5" s="93"/>
      <c r="P5" s="93"/>
      <c r="Q5" s="93"/>
      <c r="R5" s="93"/>
      <c r="S5" s="93"/>
      <c r="T5" s="93"/>
      <c r="U5" s="93"/>
      <c r="V5" s="93"/>
      <c r="W5" s="93"/>
      <c r="X5" s="93"/>
      <c r="Y5" s="93"/>
      <c r="Z5" s="93"/>
      <c r="AA5" s="93"/>
      <c r="AB5" s="93"/>
      <c r="AC5" s="93"/>
      <c r="AD5" s="93"/>
      <c r="AE5" s="93"/>
      <c r="AF5" s="93"/>
      <c r="AG5" s="93"/>
      <c r="AH5" s="93"/>
      <c r="AI5" s="93"/>
      <c r="AJ5" s="93"/>
      <c r="AK5" s="93"/>
      <c r="AL5" s="93"/>
      <c r="AM5" s="93"/>
      <c r="AN5" s="93"/>
      <c r="AO5" s="93"/>
      <c r="AP5" s="93"/>
      <c r="AQ5" s="93"/>
      <c r="AR5" s="93"/>
      <c r="AS5" s="93"/>
      <c r="AT5" s="93"/>
      <c r="AU5" s="93"/>
      <c r="AV5" s="93"/>
      <c r="AW5" s="93"/>
      <c r="AX5" s="93"/>
      <c r="AY5" s="93"/>
      <c r="AZ5" s="93"/>
    </row>
    <row r="6" spans="1:54" x14ac:dyDescent="0.15">
      <c r="A6" s="93"/>
      <c r="B6" s="113"/>
      <c r="C6" s="114" t="s">
        <v>40</v>
      </c>
      <c r="D6" s="114" t="s">
        <v>41</v>
      </c>
      <c r="E6"/>
      <c r="F6" s="115"/>
      <c r="G6" s="93"/>
      <c r="H6" s="116" t="s">
        <v>42</v>
      </c>
      <c r="I6" s="93"/>
      <c r="J6" s="93"/>
      <c r="K6" s="93"/>
      <c r="L6" s="112"/>
      <c r="M6" s="93"/>
      <c r="N6" s="93"/>
      <c r="O6" s="93"/>
      <c r="P6" s="93"/>
      <c r="Q6" s="93"/>
      <c r="R6" s="93"/>
      <c r="S6" s="93"/>
      <c r="T6" s="93"/>
      <c r="U6" s="93"/>
      <c r="V6" s="93"/>
      <c r="W6" s="93"/>
      <c r="X6" s="93"/>
      <c r="Y6" s="93"/>
      <c r="Z6" s="93"/>
      <c r="AA6" s="93"/>
      <c r="AB6" s="93"/>
      <c r="AC6" s="93"/>
      <c r="AD6" s="93"/>
      <c r="AE6" s="93"/>
      <c r="AF6" s="93"/>
      <c r="AG6" s="93"/>
      <c r="AH6" s="93"/>
      <c r="AI6" s="93"/>
      <c r="AJ6" s="93"/>
      <c r="AK6" s="93"/>
      <c r="AL6" s="93"/>
      <c r="AM6" s="93"/>
      <c r="AN6" s="93"/>
      <c r="AO6" s="93"/>
      <c r="AP6" s="93"/>
      <c r="AQ6" s="93"/>
      <c r="AR6" s="93"/>
      <c r="AS6" s="93"/>
      <c r="AT6" s="93"/>
      <c r="AU6" s="93"/>
      <c r="AV6" s="93"/>
      <c r="AW6" s="93"/>
      <c r="AX6" s="93"/>
      <c r="AY6" s="93"/>
      <c r="AZ6" s="93"/>
    </row>
    <row r="7" spans="1:54" s="105" customFormat="1" ht="18" customHeight="1" x14ac:dyDescent="0.15">
      <c r="A7" s="117"/>
      <c r="B7" s="118"/>
      <c r="C7" s="118"/>
      <c r="D7" s="118"/>
      <c r="E7" s="118"/>
      <c r="F7" s="119"/>
      <c r="G7" s="120" t="s">
        <v>43</v>
      </c>
      <c r="H7" s="118"/>
      <c r="I7" s="118"/>
      <c r="J7" s="118"/>
      <c r="K7" s="118"/>
      <c r="L7" s="118"/>
      <c r="M7" s="118"/>
      <c r="N7" s="118"/>
      <c r="O7" s="118"/>
      <c r="P7" s="118"/>
      <c r="Q7" s="118"/>
      <c r="R7" s="118"/>
      <c r="S7" s="118"/>
      <c r="T7" s="118"/>
      <c r="U7" s="118"/>
      <c r="V7" s="118"/>
      <c r="W7" s="118"/>
      <c r="X7" s="119"/>
      <c r="Y7" s="120" t="s">
        <v>44</v>
      </c>
      <c r="Z7" s="118"/>
      <c r="AA7" s="118"/>
      <c r="AB7" s="118"/>
      <c r="AC7" s="118"/>
      <c r="AD7" s="118"/>
      <c r="AE7" s="118"/>
      <c r="AF7" s="118"/>
      <c r="AG7" s="118"/>
      <c r="AH7" s="118"/>
      <c r="AI7" s="118"/>
      <c r="AJ7" s="118"/>
      <c r="AK7" s="118"/>
      <c r="AL7" s="118"/>
      <c r="AM7" s="118"/>
      <c r="AN7" s="118"/>
      <c r="AO7" s="118"/>
      <c r="AP7" s="118"/>
      <c r="AQ7" s="118"/>
      <c r="AR7" s="118"/>
      <c r="AS7" s="118"/>
      <c r="AT7" s="118"/>
      <c r="AU7" s="148"/>
      <c r="AV7" s="118"/>
      <c r="AW7" s="118"/>
      <c r="AX7" s="118"/>
      <c r="AY7" s="118"/>
      <c r="AZ7" s="151"/>
      <c r="BA7" s="151"/>
      <c r="BB7" s="152"/>
    </row>
    <row r="8" spans="1:54" s="105" customFormat="1" ht="69.95" customHeight="1" x14ac:dyDescent="0.15">
      <c r="A8" s="121" t="s">
        <v>45</v>
      </c>
      <c r="B8" s="122" t="s">
        <v>46</v>
      </c>
      <c r="C8" s="121" t="s">
        <v>47</v>
      </c>
      <c r="D8" s="121" t="s">
        <v>48</v>
      </c>
      <c r="E8" s="121" t="s">
        <v>49</v>
      </c>
      <c r="F8" s="123" t="s">
        <v>50</v>
      </c>
      <c r="G8" s="124" t="s">
        <v>51</v>
      </c>
      <c r="H8" s="125" t="s">
        <v>52</v>
      </c>
      <c r="I8" s="125" t="s">
        <v>53</v>
      </c>
      <c r="J8" s="125" t="s">
        <v>54</v>
      </c>
      <c r="K8" s="125" t="s">
        <v>55</v>
      </c>
      <c r="L8" s="125" t="s">
        <v>56</v>
      </c>
      <c r="M8" s="125" t="s">
        <v>57</v>
      </c>
      <c r="N8" s="125" t="s">
        <v>58</v>
      </c>
      <c r="O8" s="125" t="s">
        <v>59</v>
      </c>
      <c r="P8" s="125" t="s">
        <v>60</v>
      </c>
      <c r="Q8" s="125" t="str">
        <f>"発生"&amp;設定シート!D2</f>
        <v>発生サブシステム名</v>
      </c>
      <c r="R8" s="125" t="str">
        <f>"発生"&amp;設定シート!E2</f>
        <v>発生業務プロセス名</v>
      </c>
      <c r="S8" s="125" t="str">
        <f>"発生"&amp;設定シート!F2</f>
        <v>発生プロセス名</v>
      </c>
      <c r="T8" s="125" t="s">
        <v>61</v>
      </c>
      <c r="U8" s="125" t="s">
        <v>62</v>
      </c>
      <c r="V8" s="125" t="s">
        <v>63</v>
      </c>
      <c r="W8" s="125" t="s">
        <v>64</v>
      </c>
      <c r="X8" s="139" t="s">
        <v>65</v>
      </c>
      <c r="Y8" s="142" t="s">
        <v>66</v>
      </c>
      <c r="Z8" s="125" t="s">
        <v>67</v>
      </c>
      <c r="AA8" s="125" t="s">
        <v>68</v>
      </c>
      <c r="AB8" s="125" t="s">
        <v>69</v>
      </c>
      <c r="AC8" s="125" t="s">
        <v>70</v>
      </c>
      <c r="AD8" s="125" t="s">
        <v>71</v>
      </c>
      <c r="AE8" s="125" t="s">
        <v>72</v>
      </c>
      <c r="AF8" s="143" t="s">
        <v>73</v>
      </c>
      <c r="AG8" s="125" t="str">
        <f>"原因"&amp;設定シート!D2</f>
        <v>原因サブシステム名</v>
      </c>
      <c r="AH8" s="125" t="str">
        <f>"原因"&amp;設定シート!E2</f>
        <v>原因業務プロセス名</v>
      </c>
      <c r="AI8" s="125" t="str">
        <f>"原因"&amp;設定シート!F2</f>
        <v>原因プロセス名</v>
      </c>
      <c r="AJ8" s="125" t="s">
        <v>74</v>
      </c>
      <c r="AK8" s="125" t="s">
        <v>75</v>
      </c>
      <c r="AL8" s="125" t="s">
        <v>76</v>
      </c>
      <c r="AM8" s="125" t="s">
        <v>77</v>
      </c>
      <c r="AN8" s="125" t="s">
        <v>78</v>
      </c>
      <c r="AO8" s="125" t="s">
        <v>79</v>
      </c>
      <c r="AP8" s="125" t="s">
        <v>80</v>
      </c>
      <c r="AQ8" s="125" t="s">
        <v>81</v>
      </c>
      <c r="AR8" s="125" t="s">
        <v>82</v>
      </c>
      <c r="AS8" s="125" t="s">
        <v>64</v>
      </c>
      <c r="AT8" s="149" t="s">
        <v>65</v>
      </c>
      <c r="AU8" s="142" t="s">
        <v>83</v>
      </c>
      <c r="AV8" s="125" t="s">
        <v>84</v>
      </c>
      <c r="AW8" s="125" t="s">
        <v>85</v>
      </c>
      <c r="AX8" s="125" t="s">
        <v>64</v>
      </c>
      <c r="AY8" s="139" t="s">
        <v>65</v>
      </c>
      <c r="AZ8" s="153" t="s">
        <v>86</v>
      </c>
      <c r="BA8" s="154" t="s">
        <v>87</v>
      </c>
      <c r="BB8" s="155" t="s">
        <v>88</v>
      </c>
    </row>
    <row r="9" spans="1:54" ht="120" x14ac:dyDescent="0.15">
      <c r="A9" s="126">
        <f t="shared" ref="A9" si="0">ROW()-8</f>
        <v>1</v>
      </c>
      <c r="B9" s="127" t="s">
        <v>89</v>
      </c>
      <c r="C9" s="128" t="s">
        <v>90</v>
      </c>
      <c r="D9" s="129" t="s">
        <v>35</v>
      </c>
      <c r="E9" s="130" t="str">
        <f t="shared" ref="E9:E45" si="1">TEXT(A9,"0000")</f>
        <v>0001</v>
      </c>
      <c r="F9" s="131" t="str">
        <f t="shared" ref="F9" si="2">IF(D9="","",CONCATENATE(D9,"-",E9))</f>
        <v>IT-0001</v>
      </c>
      <c r="G9" s="132" t="s">
        <v>91</v>
      </c>
      <c r="H9" s="133">
        <v>45491</v>
      </c>
      <c r="I9" s="133"/>
      <c r="J9" s="133"/>
      <c r="K9" s="137" t="s">
        <v>92</v>
      </c>
      <c r="L9" s="137" t="s">
        <v>93</v>
      </c>
      <c r="M9" s="129"/>
      <c r="N9" s="137"/>
      <c r="O9" s="130"/>
      <c r="P9" s="138"/>
      <c r="Q9" s="129" t="s">
        <v>94</v>
      </c>
      <c r="R9" s="129" t="s">
        <v>95</v>
      </c>
      <c r="S9" s="129"/>
      <c r="T9" s="129" t="s">
        <v>96</v>
      </c>
      <c r="U9" s="129" t="s">
        <v>97</v>
      </c>
      <c r="V9" s="129" t="s">
        <v>98</v>
      </c>
      <c r="W9" s="140"/>
      <c r="X9" s="141"/>
      <c r="Y9" s="144" t="s">
        <v>99</v>
      </c>
      <c r="Z9" s="133">
        <v>45491</v>
      </c>
      <c r="AA9" s="133">
        <v>45492</v>
      </c>
      <c r="AB9" s="133">
        <v>45492</v>
      </c>
      <c r="AC9" s="133">
        <v>45495</v>
      </c>
      <c r="AD9" s="133">
        <v>45495</v>
      </c>
      <c r="AE9" s="137" t="s">
        <v>100</v>
      </c>
      <c r="AF9" s="145" t="s">
        <v>101</v>
      </c>
      <c r="AG9" s="129"/>
      <c r="AH9" s="129"/>
      <c r="AI9" s="129"/>
      <c r="AJ9" s="129"/>
      <c r="AK9" s="146"/>
      <c r="AL9" s="129"/>
      <c r="AM9" s="147"/>
      <c r="AN9" s="147"/>
      <c r="AO9" s="147"/>
      <c r="AP9" s="129"/>
      <c r="AQ9" s="129"/>
      <c r="AR9" s="140"/>
      <c r="AS9" s="140"/>
      <c r="AT9" s="150"/>
      <c r="AU9" s="144"/>
      <c r="AV9" s="133"/>
      <c r="AW9" s="133"/>
      <c r="AX9" s="140"/>
      <c r="AY9" s="141"/>
      <c r="AZ9" s="156"/>
      <c r="BA9" s="157"/>
      <c r="BB9" s="158" t="s">
        <v>102</v>
      </c>
    </row>
    <row r="10" spans="1:54" ht="192" x14ac:dyDescent="0.15">
      <c r="A10" s="126">
        <f>ROW()-9</f>
        <v>1</v>
      </c>
      <c r="B10" s="127"/>
      <c r="C10" s="128" t="str">
        <f t="shared" ref="C10:C18" si="3">IF(AND(H10&lt;&gt;"",AW10&lt;&gt;""),"検証完了",IF(AND(H10&lt;&gt;"",AB10&lt;&gt;""),"修正完了",IF(AND(H10&lt;&gt;"",Z10&lt;&gt;""),"対応中",IF(H10&lt;&gt;"","未着手",""))))</f>
        <v>検証完了</v>
      </c>
      <c r="D10" s="129" t="s">
        <v>35</v>
      </c>
      <c r="E10" s="130" t="str">
        <f t="shared" si="1"/>
        <v>0001</v>
      </c>
      <c r="F10" s="131" t="str">
        <f t="shared" ref="F10:F45" si="4">IF(D10="","",CONCATENATE(D10,"-",E10))</f>
        <v>IT-0001</v>
      </c>
      <c r="G10" s="132" t="s">
        <v>103</v>
      </c>
      <c r="H10" s="133">
        <v>45616</v>
      </c>
      <c r="I10" s="133">
        <v>45616</v>
      </c>
      <c r="J10" s="133">
        <v>45616</v>
      </c>
      <c r="K10" s="137" t="s">
        <v>104</v>
      </c>
      <c r="L10" s="137" t="s">
        <v>105</v>
      </c>
      <c r="M10" s="129"/>
      <c r="N10" s="129"/>
      <c r="O10" s="130" t="str">
        <f t="shared" ref="O10:O45" si="5">IF(AND(M10&lt;&gt;"",N10&lt;&gt;""),CONCATENATE(M10,"-",N10),"")</f>
        <v/>
      </c>
      <c r="P10" s="138"/>
      <c r="Q10" s="129" t="s">
        <v>94</v>
      </c>
      <c r="R10" s="129" t="s">
        <v>95</v>
      </c>
      <c r="S10" s="129"/>
      <c r="T10" s="129" t="s">
        <v>96</v>
      </c>
      <c r="U10" s="129" t="s">
        <v>97</v>
      </c>
      <c r="V10" s="129" t="s">
        <v>98</v>
      </c>
      <c r="W10" s="140"/>
      <c r="X10" s="141"/>
      <c r="Y10" s="144" t="s">
        <v>106</v>
      </c>
      <c r="Z10" s="133">
        <v>45616</v>
      </c>
      <c r="AA10" s="133">
        <v>45616</v>
      </c>
      <c r="AB10" s="133">
        <v>45616</v>
      </c>
      <c r="AC10" s="133"/>
      <c r="AD10" s="133"/>
      <c r="AE10" s="137" t="s">
        <v>107</v>
      </c>
      <c r="AF10" s="145" t="s">
        <v>108</v>
      </c>
      <c r="AG10" s="129" t="s">
        <v>94</v>
      </c>
      <c r="AH10" s="129" t="s">
        <v>95</v>
      </c>
      <c r="AI10" s="129"/>
      <c r="AJ10" s="129" t="s">
        <v>109</v>
      </c>
      <c r="AK10" s="146" t="s">
        <v>106</v>
      </c>
      <c r="AL10" s="129" t="s">
        <v>110</v>
      </c>
      <c r="AM10" s="147" t="s">
        <v>111</v>
      </c>
      <c r="AN10" s="147" t="s">
        <v>112</v>
      </c>
      <c r="AO10" s="147" t="s">
        <v>113</v>
      </c>
      <c r="AP10" s="129" t="s">
        <v>114</v>
      </c>
      <c r="AQ10" s="129" t="s">
        <v>115</v>
      </c>
      <c r="AR10" s="140"/>
      <c r="AS10" s="140"/>
      <c r="AT10" s="150"/>
      <c r="AU10" s="144" t="s">
        <v>103</v>
      </c>
      <c r="AV10" s="133">
        <v>45617</v>
      </c>
      <c r="AW10" s="133">
        <v>45617</v>
      </c>
      <c r="AX10" s="133"/>
      <c r="AY10" s="141"/>
      <c r="AZ10" s="156"/>
      <c r="BA10" s="159" t="s">
        <v>127</v>
      </c>
      <c r="BB10" s="158" t="s">
        <v>102</v>
      </c>
    </row>
    <row r="11" spans="1:54" ht="192" x14ac:dyDescent="0.15">
      <c r="A11" s="126">
        <f t="shared" ref="A11:A74" si="6">ROW()-9</f>
        <v>2</v>
      </c>
      <c r="B11" s="127"/>
      <c r="C11" s="128" t="str">
        <f t="shared" si="3"/>
        <v>検証完了</v>
      </c>
      <c r="D11" s="129" t="s">
        <v>35</v>
      </c>
      <c r="E11" s="130" t="str">
        <f t="shared" si="1"/>
        <v>0002</v>
      </c>
      <c r="F11" s="131" t="str">
        <f t="shared" si="4"/>
        <v>IT-0002</v>
      </c>
      <c r="G11" s="132" t="s">
        <v>116</v>
      </c>
      <c r="H11" s="133">
        <v>45616</v>
      </c>
      <c r="I11" s="133">
        <v>45616</v>
      </c>
      <c r="J11" s="133">
        <v>45616</v>
      </c>
      <c r="K11" s="137" t="s">
        <v>117</v>
      </c>
      <c r="L11" s="137" t="s">
        <v>118</v>
      </c>
      <c r="M11" s="129"/>
      <c r="N11" s="129"/>
      <c r="O11" s="130" t="str">
        <f t="shared" si="5"/>
        <v/>
      </c>
      <c r="P11" s="138"/>
      <c r="Q11" s="129" t="s">
        <v>119</v>
      </c>
      <c r="R11" s="129" t="s">
        <v>120</v>
      </c>
      <c r="S11" s="129"/>
      <c r="T11" s="129" t="s">
        <v>96</v>
      </c>
      <c r="U11" s="129" t="s">
        <v>97</v>
      </c>
      <c r="V11" s="129" t="s">
        <v>98</v>
      </c>
      <c r="W11" s="140"/>
      <c r="X11" s="141"/>
      <c r="Y11" s="144" t="s">
        <v>116</v>
      </c>
      <c r="Z11" s="133">
        <v>45618</v>
      </c>
      <c r="AA11" s="133">
        <v>45618</v>
      </c>
      <c r="AB11" s="133">
        <v>45618</v>
      </c>
      <c r="AC11" s="133"/>
      <c r="AD11" s="133"/>
      <c r="AE11" s="137" t="s">
        <v>121</v>
      </c>
      <c r="AF11" s="145" t="s">
        <v>122</v>
      </c>
      <c r="AG11" s="129" t="s">
        <v>119</v>
      </c>
      <c r="AH11" s="129" t="s">
        <v>120</v>
      </c>
      <c r="AI11" s="129"/>
      <c r="AJ11" s="129" t="s">
        <v>109</v>
      </c>
      <c r="AK11" s="146" t="s">
        <v>116</v>
      </c>
      <c r="AL11" s="129" t="s">
        <v>35</v>
      </c>
      <c r="AM11" s="147" t="s">
        <v>123</v>
      </c>
      <c r="AN11" s="147" t="s">
        <v>124</v>
      </c>
      <c r="AO11" s="147" t="s">
        <v>113</v>
      </c>
      <c r="AP11" s="129" t="s">
        <v>114</v>
      </c>
      <c r="AQ11" s="129" t="s">
        <v>125</v>
      </c>
      <c r="AR11" s="140"/>
      <c r="AS11" s="140"/>
      <c r="AT11" s="150"/>
      <c r="AU11" s="144" t="s">
        <v>126</v>
      </c>
      <c r="AV11" s="133">
        <v>45618</v>
      </c>
      <c r="AW11" s="133">
        <v>45618</v>
      </c>
      <c r="AX11" s="140"/>
      <c r="AY11" s="141"/>
      <c r="AZ11" s="156"/>
      <c r="BA11" s="159" t="s">
        <v>127</v>
      </c>
      <c r="BB11" s="158" t="s">
        <v>102</v>
      </c>
    </row>
    <row r="12" spans="1:54" ht="192" x14ac:dyDescent="0.15">
      <c r="A12" s="126">
        <f t="shared" si="6"/>
        <v>3</v>
      </c>
      <c r="B12" s="127"/>
      <c r="C12" s="128" t="str">
        <f t="shared" si="3"/>
        <v>検証完了</v>
      </c>
      <c r="D12" s="129" t="s">
        <v>35</v>
      </c>
      <c r="E12" s="130" t="str">
        <f t="shared" si="1"/>
        <v>0003</v>
      </c>
      <c r="F12" s="131" t="str">
        <f t="shared" si="4"/>
        <v>IT-0003</v>
      </c>
      <c r="G12" s="132" t="s">
        <v>116</v>
      </c>
      <c r="H12" s="133">
        <v>45616</v>
      </c>
      <c r="I12" s="133">
        <v>45616</v>
      </c>
      <c r="J12" s="133">
        <v>45616</v>
      </c>
      <c r="K12" s="137" t="s">
        <v>117</v>
      </c>
      <c r="L12" s="137" t="s">
        <v>128</v>
      </c>
      <c r="M12" s="129"/>
      <c r="N12" s="129"/>
      <c r="O12" s="130" t="str">
        <f t="shared" ref="O12:O30" si="7">IF(AND(M12&lt;&gt;"",N12&lt;&gt;""),CONCATENATE(M12,"-",N12),"")</f>
        <v/>
      </c>
      <c r="P12" s="138"/>
      <c r="Q12" s="129" t="s">
        <v>119</v>
      </c>
      <c r="R12" s="129" t="s">
        <v>120</v>
      </c>
      <c r="S12" s="129"/>
      <c r="T12" s="129" t="s">
        <v>96</v>
      </c>
      <c r="U12" s="129" t="s">
        <v>97</v>
      </c>
      <c r="V12" s="129" t="s">
        <v>98</v>
      </c>
      <c r="W12" s="140"/>
      <c r="X12" s="141"/>
      <c r="Y12" s="144" t="s">
        <v>116</v>
      </c>
      <c r="Z12" s="133">
        <v>45618</v>
      </c>
      <c r="AA12" s="133">
        <v>45618</v>
      </c>
      <c r="AB12" s="133">
        <v>45618</v>
      </c>
      <c r="AC12" s="133"/>
      <c r="AD12" s="133"/>
      <c r="AE12" s="137" t="s">
        <v>121</v>
      </c>
      <c r="AF12" s="145" t="s">
        <v>122</v>
      </c>
      <c r="AG12" s="129" t="s">
        <v>119</v>
      </c>
      <c r="AH12" s="129" t="s">
        <v>120</v>
      </c>
      <c r="AI12" s="129"/>
      <c r="AJ12" s="129" t="s">
        <v>109</v>
      </c>
      <c r="AK12" s="146" t="s">
        <v>116</v>
      </c>
      <c r="AL12" s="129" t="s">
        <v>35</v>
      </c>
      <c r="AM12" s="147" t="s">
        <v>123</v>
      </c>
      <c r="AN12" s="147" t="s">
        <v>124</v>
      </c>
      <c r="AO12" s="147" t="s">
        <v>113</v>
      </c>
      <c r="AP12" s="129" t="s">
        <v>114</v>
      </c>
      <c r="AQ12" s="129" t="s">
        <v>125</v>
      </c>
      <c r="AR12" s="140"/>
      <c r="AS12" s="140"/>
      <c r="AT12" s="150"/>
      <c r="AU12" s="144" t="s">
        <v>126</v>
      </c>
      <c r="AV12" s="133">
        <v>45618</v>
      </c>
      <c r="AW12" s="133">
        <v>45618</v>
      </c>
      <c r="AX12" s="140"/>
      <c r="AY12" s="141"/>
      <c r="AZ12" s="156"/>
      <c r="BA12" s="159" t="s">
        <v>127</v>
      </c>
      <c r="BB12" s="158" t="s">
        <v>102</v>
      </c>
    </row>
    <row r="13" spans="1:54" ht="192" x14ac:dyDescent="0.15">
      <c r="A13" s="126">
        <f t="shared" si="6"/>
        <v>4</v>
      </c>
      <c r="B13" s="127"/>
      <c r="C13" s="128" t="str">
        <f t="shared" si="3"/>
        <v>検証完了</v>
      </c>
      <c r="D13" s="129" t="s">
        <v>35</v>
      </c>
      <c r="E13" s="130" t="str">
        <f t="shared" si="1"/>
        <v>0004</v>
      </c>
      <c r="F13" s="131" t="str">
        <f t="shared" si="4"/>
        <v>IT-0004</v>
      </c>
      <c r="G13" s="132" t="s">
        <v>116</v>
      </c>
      <c r="H13" s="133">
        <v>45616</v>
      </c>
      <c r="I13" s="133">
        <v>45616</v>
      </c>
      <c r="J13" s="133">
        <v>45616</v>
      </c>
      <c r="K13" s="137" t="s">
        <v>117</v>
      </c>
      <c r="L13" s="137" t="s">
        <v>129</v>
      </c>
      <c r="M13" s="129"/>
      <c r="N13" s="129"/>
      <c r="O13" s="130" t="str">
        <f t="shared" si="7"/>
        <v/>
      </c>
      <c r="P13" s="138"/>
      <c r="Q13" s="129" t="s">
        <v>119</v>
      </c>
      <c r="R13" s="129" t="s">
        <v>120</v>
      </c>
      <c r="S13" s="129"/>
      <c r="T13" s="129" t="s">
        <v>96</v>
      </c>
      <c r="U13" s="129" t="s">
        <v>97</v>
      </c>
      <c r="V13" s="129" t="s">
        <v>98</v>
      </c>
      <c r="W13" s="140"/>
      <c r="X13" s="141"/>
      <c r="Y13" s="144" t="s">
        <v>116</v>
      </c>
      <c r="Z13" s="133">
        <v>45618</v>
      </c>
      <c r="AA13" s="133">
        <v>45618</v>
      </c>
      <c r="AB13" s="133">
        <v>45618</v>
      </c>
      <c r="AC13" s="133"/>
      <c r="AD13" s="133"/>
      <c r="AE13" s="137" t="s">
        <v>121</v>
      </c>
      <c r="AF13" s="145" t="s">
        <v>122</v>
      </c>
      <c r="AG13" s="129" t="s">
        <v>119</v>
      </c>
      <c r="AH13" s="129" t="s">
        <v>120</v>
      </c>
      <c r="AI13" s="129"/>
      <c r="AJ13" s="129" t="s">
        <v>109</v>
      </c>
      <c r="AK13" s="146" t="s">
        <v>116</v>
      </c>
      <c r="AL13" s="129" t="s">
        <v>35</v>
      </c>
      <c r="AM13" s="147" t="s">
        <v>123</v>
      </c>
      <c r="AN13" s="147" t="s">
        <v>124</v>
      </c>
      <c r="AO13" s="147" t="s">
        <v>113</v>
      </c>
      <c r="AP13" s="129" t="s">
        <v>114</v>
      </c>
      <c r="AQ13" s="129" t="s">
        <v>125</v>
      </c>
      <c r="AR13" s="140"/>
      <c r="AS13" s="140"/>
      <c r="AT13" s="150"/>
      <c r="AU13" s="144" t="s">
        <v>126</v>
      </c>
      <c r="AV13" s="133">
        <v>45618</v>
      </c>
      <c r="AW13" s="133">
        <v>45618</v>
      </c>
      <c r="AX13" s="140"/>
      <c r="AY13" s="141"/>
      <c r="AZ13" s="156"/>
      <c r="BA13" s="159" t="s">
        <v>127</v>
      </c>
      <c r="BB13" s="158" t="s">
        <v>102</v>
      </c>
    </row>
    <row r="14" spans="1:54" ht="192" x14ac:dyDescent="0.15">
      <c r="A14" s="126">
        <f t="shared" si="6"/>
        <v>5</v>
      </c>
      <c r="B14" s="127"/>
      <c r="C14" s="128" t="str">
        <f t="shared" si="3"/>
        <v>検証完了</v>
      </c>
      <c r="D14" s="129" t="s">
        <v>35</v>
      </c>
      <c r="E14" s="130" t="str">
        <f t="shared" si="1"/>
        <v>0005</v>
      </c>
      <c r="F14" s="131" t="str">
        <f t="shared" si="4"/>
        <v>IT-0005</v>
      </c>
      <c r="G14" s="132" t="s">
        <v>116</v>
      </c>
      <c r="H14" s="133">
        <v>45616</v>
      </c>
      <c r="I14" s="133">
        <v>45616</v>
      </c>
      <c r="J14" s="133">
        <v>45616</v>
      </c>
      <c r="K14" s="137" t="s">
        <v>117</v>
      </c>
      <c r="L14" s="137" t="s">
        <v>130</v>
      </c>
      <c r="M14" s="129"/>
      <c r="N14" s="129"/>
      <c r="O14" s="130" t="str">
        <f t="shared" si="7"/>
        <v/>
      </c>
      <c r="P14" s="138"/>
      <c r="Q14" s="129" t="s">
        <v>119</v>
      </c>
      <c r="R14" s="129" t="s">
        <v>120</v>
      </c>
      <c r="S14" s="129"/>
      <c r="T14" s="129" t="s">
        <v>96</v>
      </c>
      <c r="U14" s="129" t="s">
        <v>97</v>
      </c>
      <c r="V14" s="129" t="s">
        <v>98</v>
      </c>
      <c r="W14" s="140"/>
      <c r="X14" s="141"/>
      <c r="Y14" s="144" t="s">
        <v>116</v>
      </c>
      <c r="Z14" s="133">
        <v>45618</v>
      </c>
      <c r="AA14" s="133">
        <v>45618</v>
      </c>
      <c r="AB14" s="133">
        <v>45618</v>
      </c>
      <c r="AC14" s="133"/>
      <c r="AD14" s="133"/>
      <c r="AE14" s="137" t="s">
        <v>121</v>
      </c>
      <c r="AF14" s="145" t="s">
        <v>122</v>
      </c>
      <c r="AG14" s="129" t="s">
        <v>119</v>
      </c>
      <c r="AH14" s="129" t="s">
        <v>120</v>
      </c>
      <c r="AI14" s="129"/>
      <c r="AJ14" s="129" t="s">
        <v>109</v>
      </c>
      <c r="AK14" s="146" t="s">
        <v>116</v>
      </c>
      <c r="AL14" s="129" t="s">
        <v>35</v>
      </c>
      <c r="AM14" s="147" t="s">
        <v>123</v>
      </c>
      <c r="AN14" s="147" t="s">
        <v>124</v>
      </c>
      <c r="AO14" s="147" t="s">
        <v>113</v>
      </c>
      <c r="AP14" s="129" t="s">
        <v>114</v>
      </c>
      <c r="AQ14" s="129" t="s">
        <v>125</v>
      </c>
      <c r="AR14" s="140"/>
      <c r="AS14" s="140"/>
      <c r="AT14" s="150"/>
      <c r="AU14" s="144" t="s">
        <v>126</v>
      </c>
      <c r="AV14" s="133">
        <v>45618</v>
      </c>
      <c r="AW14" s="133">
        <v>45618</v>
      </c>
      <c r="AX14" s="140"/>
      <c r="AY14" s="141"/>
      <c r="AZ14" s="156"/>
      <c r="BA14" s="159" t="s">
        <v>127</v>
      </c>
      <c r="BB14" s="158" t="s">
        <v>102</v>
      </c>
    </row>
    <row r="15" spans="1:54" ht="192" x14ac:dyDescent="0.15">
      <c r="A15" s="126">
        <f t="shared" si="6"/>
        <v>6</v>
      </c>
      <c r="B15" s="127"/>
      <c r="C15" s="128" t="str">
        <f t="shared" si="3"/>
        <v>検証完了</v>
      </c>
      <c r="D15" s="129" t="s">
        <v>35</v>
      </c>
      <c r="E15" s="130" t="str">
        <f t="shared" si="1"/>
        <v>0006</v>
      </c>
      <c r="F15" s="131" t="str">
        <f t="shared" si="4"/>
        <v>IT-0006</v>
      </c>
      <c r="G15" s="132" t="s">
        <v>116</v>
      </c>
      <c r="H15" s="133">
        <v>45616</v>
      </c>
      <c r="I15" s="133">
        <v>45616</v>
      </c>
      <c r="J15" s="133">
        <v>45616</v>
      </c>
      <c r="K15" s="137" t="s">
        <v>117</v>
      </c>
      <c r="L15" s="137" t="s">
        <v>131</v>
      </c>
      <c r="M15" s="129"/>
      <c r="N15" s="129"/>
      <c r="O15" s="130" t="str">
        <f t="shared" si="7"/>
        <v/>
      </c>
      <c r="P15" s="138"/>
      <c r="Q15" s="129" t="s">
        <v>119</v>
      </c>
      <c r="R15" s="129" t="s">
        <v>120</v>
      </c>
      <c r="S15" s="129"/>
      <c r="T15" s="129" t="s">
        <v>96</v>
      </c>
      <c r="U15" s="129" t="s">
        <v>97</v>
      </c>
      <c r="V15" s="129" t="s">
        <v>98</v>
      </c>
      <c r="W15" s="140"/>
      <c r="X15" s="141"/>
      <c r="Y15" s="144" t="s">
        <v>116</v>
      </c>
      <c r="Z15" s="133">
        <v>45618</v>
      </c>
      <c r="AA15" s="133">
        <v>45618</v>
      </c>
      <c r="AB15" s="133">
        <v>45618</v>
      </c>
      <c r="AC15" s="133"/>
      <c r="AD15" s="133"/>
      <c r="AE15" s="137" t="s">
        <v>121</v>
      </c>
      <c r="AF15" s="145" t="s">
        <v>122</v>
      </c>
      <c r="AG15" s="129" t="s">
        <v>119</v>
      </c>
      <c r="AH15" s="129" t="s">
        <v>120</v>
      </c>
      <c r="AI15" s="129"/>
      <c r="AJ15" s="129" t="s">
        <v>109</v>
      </c>
      <c r="AK15" s="146" t="s">
        <v>116</v>
      </c>
      <c r="AL15" s="129" t="s">
        <v>35</v>
      </c>
      <c r="AM15" s="147" t="s">
        <v>123</v>
      </c>
      <c r="AN15" s="147" t="s">
        <v>124</v>
      </c>
      <c r="AO15" s="147" t="s">
        <v>113</v>
      </c>
      <c r="AP15" s="129" t="s">
        <v>114</v>
      </c>
      <c r="AQ15" s="129" t="s">
        <v>125</v>
      </c>
      <c r="AR15" s="140"/>
      <c r="AS15" s="140"/>
      <c r="AT15" s="150"/>
      <c r="AU15" s="144" t="s">
        <v>126</v>
      </c>
      <c r="AV15" s="133">
        <v>45618</v>
      </c>
      <c r="AW15" s="133">
        <v>45618</v>
      </c>
      <c r="AX15" s="140"/>
      <c r="AY15" s="141"/>
      <c r="AZ15" s="156"/>
      <c r="BA15" s="159" t="s">
        <v>127</v>
      </c>
      <c r="BB15" s="158" t="s">
        <v>102</v>
      </c>
    </row>
    <row r="16" spans="1:54" ht="192" x14ac:dyDescent="0.15">
      <c r="A16" s="126">
        <f t="shared" si="6"/>
        <v>7</v>
      </c>
      <c r="B16" s="127"/>
      <c r="C16" s="128" t="str">
        <f t="shared" si="3"/>
        <v>検証完了</v>
      </c>
      <c r="D16" s="129" t="s">
        <v>35</v>
      </c>
      <c r="E16" s="130" t="str">
        <f t="shared" si="1"/>
        <v>0007</v>
      </c>
      <c r="F16" s="131" t="str">
        <f t="shared" si="4"/>
        <v>IT-0007</v>
      </c>
      <c r="G16" s="132" t="s">
        <v>116</v>
      </c>
      <c r="H16" s="133">
        <v>45616</v>
      </c>
      <c r="I16" s="133">
        <v>45616</v>
      </c>
      <c r="J16" s="133">
        <v>45616</v>
      </c>
      <c r="K16" s="137" t="s">
        <v>117</v>
      </c>
      <c r="L16" s="137" t="s">
        <v>132</v>
      </c>
      <c r="M16" s="129"/>
      <c r="N16" s="129"/>
      <c r="O16" s="130" t="str">
        <f t="shared" si="7"/>
        <v/>
      </c>
      <c r="P16" s="138"/>
      <c r="Q16" s="129" t="s">
        <v>119</v>
      </c>
      <c r="R16" s="129" t="s">
        <v>120</v>
      </c>
      <c r="S16" s="129"/>
      <c r="T16" s="129" t="s">
        <v>96</v>
      </c>
      <c r="U16" s="129" t="s">
        <v>97</v>
      </c>
      <c r="V16" s="129" t="s">
        <v>98</v>
      </c>
      <c r="W16" s="140"/>
      <c r="X16" s="141"/>
      <c r="Y16" s="144" t="s">
        <v>116</v>
      </c>
      <c r="Z16" s="133">
        <v>45618</v>
      </c>
      <c r="AA16" s="133">
        <v>45618</v>
      </c>
      <c r="AB16" s="133">
        <v>45618</v>
      </c>
      <c r="AC16" s="133"/>
      <c r="AD16" s="133"/>
      <c r="AE16" s="137" t="s">
        <v>121</v>
      </c>
      <c r="AF16" s="145" t="s">
        <v>122</v>
      </c>
      <c r="AG16" s="129" t="s">
        <v>119</v>
      </c>
      <c r="AH16" s="129" t="s">
        <v>120</v>
      </c>
      <c r="AI16" s="129"/>
      <c r="AJ16" s="129" t="s">
        <v>109</v>
      </c>
      <c r="AK16" s="146" t="s">
        <v>116</v>
      </c>
      <c r="AL16" s="129" t="s">
        <v>35</v>
      </c>
      <c r="AM16" s="147" t="s">
        <v>123</v>
      </c>
      <c r="AN16" s="147" t="s">
        <v>124</v>
      </c>
      <c r="AO16" s="147" t="s">
        <v>113</v>
      </c>
      <c r="AP16" s="129" t="s">
        <v>114</v>
      </c>
      <c r="AQ16" s="129" t="s">
        <v>125</v>
      </c>
      <c r="AR16" s="140"/>
      <c r="AS16" s="140"/>
      <c r="AT16" s="150"/>
      <c r="AU16" s="144" t="s">
        <v>126</v>
      </c>
      <c r="AV16" s="133">
        <v>45618</v>
      </c>
      <c r="AW16" s="133">
        <v>45618</v>
      </c>
      <c r="AX16" s="140"/>
      <c r="AY16" s="141"/>
      <c r="AZ16" s="156"/>
      <c r="BA16" s="159" t="s">
        <v>127</v>
      </c>
      <c r="BB16" s="158" t="s">
        <v>102</v>
      </c>
    </row>
    <row r="17" spans="1:54" ht="192" x14ac:dyDescent="0.15">
      <c r="A17" s="126">
        <f t="shared" si="6"/>
        <v>8</v>
      </c>
      <c r="B17" s="127"/>
      <c r="C17" s="128" t="str">
        <f t="shared" si="3"/>
        <v>検証完了</v>
      </c>
      <c r="D17" s="129" t="s">
        <v>35</v>
      </c>
      <c r="E17" s="130" t="str">
        <f t="shared" si="1"/>
        <v>0008</v>
      </c>
      <c r="F17" s="131" t="str">
        <f t="shared" si="4"/>
        <v>IT-0008</v>
      </c>
      <c r="G17" s="132" t="s">
        <v>116</v>
      </c>
      <c r="H17" s="133">
        <v>45616</v>
      </c>
      <c r="I17" s="133">
        <v>45616</v>
      </c>
      <c r="J17" s="133">
        <v>45616</v>
      </c>
      <c r="K17" s="137" t="s">
        <v>117</v>
      </c>
      <c r="L17" s="137" t="s">
        <v>133</v>
      </c>
      <c r="M17" s="129"/>
      <c r="N17" s="129"/>
      <c r="O17" s="130" t="str">
        <f t="shared" si="7"/>
        <v/>
      </c>
      <c r="P17" s="138"/>
      <c r="Q17" s="129" t="s">
        <v>119</v>
      </c>
      <c r="R17" s="129" t="s">
        <v>120</v>
      </c>
      <c r="S17" s="129"/>
      <c r="T17" s="129" t="s">
        <v>96</v>
      </c>
      <c r="U17" s="129" t="s">
        <v>97</v>
      </c>
      <c r="V17" s="129" t="s">
        <v>98</v>
      </c>
      <c r="W17" s="140"/>
      <c r="X17" s="141"/>
      <c r="Y17" s="144" t="s">
        <v>116</v>
      </c>
      <c r="Z17" s="133">
        <v>45618</v>
      </c>
      <c r="AA17" s="133">
        <v>45618</v>
      </c>
      <c r="AB17" s="133">
        <v>45618</v>
      </c>
      <c r="AC17" s="133"/>
      <c r="AD17" s="133"/>
      <c r="AE17" s="137" t="s">
        <v>121</v>
      </c>
      <c r="AF17" s="145" t="s">
        <v>122</v>
      </c>
      <c r="AG17" s="129" t="s">
        <v>119</v>
      </c>
      <c r="AH17" s="129" t="s">
        <v>120</v>
      </c>
      <c r="AI17" s="129"/>
      <c r="AJ17" s="129" t="s">
        <v>109</v>
      </c>
      <c r="AK17" s="146" t="s">
        <v>116</v>
      </c>
      <c r="AL17" s="129" t="s">
        <v>35</v>
      </c>
      <c r="AM17" s="147" t="s">
        <v>123</v>
      </c>
      <c r="AN17" s="147" t="s">
        <v>124</v>
      </c>
      <c r="AO17" s="147" t="s">
        <v>113</v>
      </c>
      <c r="AP17" s="129" t="s">
        <v>114</v>
      </c>
      <c r="AQ17" s="129" t="s">
        <v>125</v>
      </c>
      <c r="AR17" s="140"/>
      <c r="AS17" s="140"/>
      <c r="AT17" s="150"/>
      <c r="AU17" s="144" t="s">
        <v>126</v>
      </c>
      <c r="AV17" s="133">
        <v>45618</v>
      </c>
      <c r="AW17" s="133">
        <v>45618</v>
      </c>
      <c r="AX17" s="140"/>
      <c r="AY17" s="141"/>
      <c r="AZ17" s="156"/>
      <c r="BA17" s="159" t="s">
        <v>127</v>
      </c>
      <c r="BB17" s="158" t="s">
        <v>102</v>
      </c>
    </row>
    <row r="18" spans="1:54" ht="192" x14ac:dyDescent="0.15">
      <c r="A18" s="126">
        <f t="shared" si="6"/>
        <v>9</v>
      </c>
      <c r="B18" s="127"/>
      <c r="C18" s="128" t="str">
        <f t="shared" si="3"/>
        <v>検証完了</v>
      </c>
      <c r="D18" s="129" t="s">
        <v>35</v>
      </c>
      <c r="E18" s="130" t="str">
        <f t="shared" si="1"/>
        <v>0009</v>
      </c>
      <c r="F18" s="131" t="str">
        <f t="shared" si="4"/>
        <v>IT-0009</v>
      </c>
      <c r="G18" s="132" t="s">
        <v>116</v>
      </c>
      <c r="H18" s="133">
        <v>45616</v>
      </c>
      <c r="I18" s="133">
        <v>45616</v>
      </c>
      <c r="J18" s="133">
        <v>45616</v>
      </c>
      <c r="K18" s="137" t="s">
        <v>117</v>
      </c>
      <c r="L18" s="137" t="s">
        <v>134</v>
      </c>
      <c r="M18" s="129"/>
      <c r="N18" s="129"/>
      <c r="O18" s="130" t="str">
        <f t="shared" si="7"/>
        <v/>
      </c>
      <c r="P18" s="138"/>
      <c r="Q18" s="129" t="s">
        <v>119</v>
      </c>
      <c r="R18" s="129" t="s">
        <v>120</v>
      </c>
      <c r="S18" s="129"/>
      <c r="T18" s="129" t="s">
        <v>96</v>
      </c>
      <c r="U18" s="129" t="s">
        <v>97</v>
      </c>
      <c r="V18" s="129" t="s">
        <v>98</v>
      </c>
      <c r="W18" s="140"/>
      <c r="X18" s="141"/>
      <c r="Y18" s="144" t="s">
        <v>116</v>
      </c>
      <c r="Z18" s="133">
        <v>45618</v>
      </c>
      <c r="AA18" s="133">
        <v>45618</v>
      </c>
      <c r="AB18" s="133">
        <v>45618</v>
      </c>
      <c r="AC18" s="133"/>
      <c r="AD18" s="133"/>
      <c r="AE18" s="137" t="s">
        <v>121</v>
      </c>
      <c r="AF18" s="145" t="s">
        <v>122</v>
      </c>
      <c r="AG18" s="129" t="s">
        <v>119</v>
      </c>
      <c r="AH18" s="129" t="s">
        <v>120</v>
      </c>
      <c r="AI18" s="129"/>
      <c r="AJ18" s="129" t="s">
        <v>109</v>
      </c>
      <c r="AK18" s="146" t="s">
        <v>116</v>
      </c>
      <c r="AL18" s="129" t="s">
        <v>35</v>
      </c>
      <c r="AM18" s="147" t="s">
        <v>123</v>
      </c>
      <c r="AN18" s="147" t="s">
        <v>124</v>
      </c>
      <c r="AO18" s="147" t="s">
        <v>113</v>
      </c>
      <c r="AP18" s="129" t="s">
        <v>114</v>
      </c>
      <c r="AQ18" s="129" t="s">
        <v>125</v>
      </c>
      <c r="AR18" s="140"/>
      <c r="AS18" s="140"/>
      <c r="AT18" s="150"/>
      <c r="AU18" s="144" t="s">
        <v>126</v>
      </c>
      <c r="AV18" s="133">
        <v>45618</v>
      </c>
      <c r="AW18" s="133">
        <v>45618</v>
      </c>
      <c r="AX18" s="140"/>
      <c r="AY18" s="141"/>
      <c r="AZ18" s="156"/>
      <c r="BA18" s="159" t="s">
        <v>127</v>
      </c>
      <c r="BB18" s="158" t="s">
        <v>102</v>
      </c>
    </row>
    <row r="19" spans="1:54" ht="192" x14ac:dyDescent="0.15">
      <c r="A19" s="126">
        <f t="shared" si="6"/>
        <v>10</v>
      </c>
      <c r="B19" s="127"/>
      <c r="C19" s="128" t="str">
        <f t="shared" ref="C19:C45" si="8">IF(AND(H19&lt;&gt;"",AW19&lt;&gt;""),"検証完了",IF(AND(H19&lt;&gt;"",AB19&lt;&gt;""),"修正完了",IF(AND(H19&lt;&gt;"",Z19&lt;&gt;""),"対応中",IF(H19&lt;&gt;"","未着手",""))))</f>
        <v>検証完了</v>
      </c>
      <c r="D19" s="129" t="s">
        <v>35</v>
      </c>
      <c r="E19" s="130" t="str">
        <f t="shared" si="1"/>
        <v>0010</v>
      </c>
      <c r="F19" s="131" t="str">
        <f t="shared" si="4"/>
        <v>IT-0010</v>
      </c>
      <c r="G19" s="132" t="s">
        <v>116</v>
      </c>
      <c r="H19" s="133">
        <v>45616</v>
      </c>
      <c r="I19" s="133">
        <v>45616</v>
      </c>
      <c r="J19" s="133">
        <v>45616</v>
      </c>
      <c r="K19" s="137" t="s">
        <v>117</v>
      </c>
      <c r="L19" s="137" t="s">
        <v>135</v>
      </c>
      <c r="M19" s="129"/>
      <c r="N19" s="129"/>
      <c r="O19" s="130" t="str">
        <f t="shared" si="7"/>
        <v/>
      </c>
      <c r="P19" s="138"/>
      <c r="Q19" s="129" t="s">
        <v>119</v>
      </c>
      <c r="R19" s="129" t="s">
        <v>120</v>
      </c>
      <c r="S19" s="129"/>
      <c r="T19" s="129" t="s">
        <v>96</v>
      </c>
      <c r="U19" s="129" t="s">
        <v>97</v>
      </c>
      <c r="V19" s="129" t="s">
        <v>98</v>
      </c>
      <c r="W19" s="140"/>
      <c r="X19" s="141"/>
      <c r="Y19" s="144" t="s">
        <v>116</v>
      </c>
      <c r="Z19" s="133">
        <v>45618</v>
      </c>
      <c r="AA19" s="133">
        <v>45618</v>
      </c>
      <c r="AB19" s="133">
        <v>45618</v>
      </c>
      <c r="AC19" s="133"/>
      <c r="AD19" s="133"/>
      <c r="AE19" s="137" t="s">
        <v>121</v>
      </c>
      <c r="AF19" s="145" t="s">
        <v>122</v>
      </c>
      <c r="AG19" s="129" t="s">
        <v>119</v>
      </c>
      <c r="AH19" s="129" t="s">
        <v>120</v>
      </c>
      <c r="AI19" s="129"/>
      <c r="AJ19" s="129" t="s">
        <v>109</v>
      </c>
      <c r="AK19" s="146" t="s">
        <v>116</v>
      </c>
      <c r="AL19" s="129" t="s">
        <v>35</v>
      </c>
      <c r="AM19" s="147" t="s">
        <v>123</v>
      </c>
      <c r="AN19" s="147" t="s">
        <v>124</v>
      </c>
      <c r="AO19" s="147" t="s">
        <v>113</v>
      </c>
      <c r="AP19" s="129" t="s">
        <v>114</v>
      </c>
      <c r="AQ19" s="129" t="s">
        <v>125</v>
      </c>
      <c r="AR19" s="140"/>
      <c r="AS19" s="140"/>
      <c r="AT19" s="150"/>
      <c r="AU19" s="144" t="s">
        <v>126</v>
      </c>
      <c r="AV19" s="133">
        <v>45618</v>
      </c>
      <c r="AW19" s="133">
        <v>45618</v>
      </c>
      <c r="AX19" s="140"/>
      <c r="AY19" s="141"/>
      <c r="AZ19" s="156"/>
      <c r="BA19" s="159" t="s">
        <v>127</v>
      </c>
      <c r="BB19" s="158" t="s">
        <v>102</v>
      </c>
    </row>
    <row r="20" spans="1:54" ht="192" x14ac:dyDescent="0.15">
      <c r="A20" s="126">
        <f t="shared" si="6"/>
        <v>11</v>
      </c>
      <c r="B20" s="127"/>
      <c r="C20" s="128" t="str">
        <f t="shared" si="8"/>
        <v>検証完了</v>
      </c>
      <c r="D20" s="129" t="s">
        <v>35</v>
      </c>
      <c r="E20" s="130" t="str">
        <f t="shared" si="1"/>
        <v>0011</v>
      </c>
      <c r="F20" s="131" t="str">
        <f t="shared" si="4"/>
        <v>IT-0011</v>
      </c>
      <c r="G20" s="132" t="s">
        <v>116</v>
      </c>
      <c r="H20" s="133">
        <v>45616</v>
      </c>
      <c r="I20" s="133">
        <v>45616</v>
      </c>
      <c r="J20" s="133">
        <v>45616</v>
      </c>
      <c r="K20" s="137" t="s">
        <v>117</v>
      </c>
      <c r="L20" s="137" t="s">
        <v>136</v>
      </c>
      <c r="M20" s="129"/>
      <c r="N20" s="129"/>
      <c r="O20" s="130" t="str">
        <f t="shared" si="7"/>
        <v/>
      </c>
      <c r="P20" s="138"/>
      <c r="Q20" s="129" t="s">
        <v>119</v>
      </c>
      <c r="R20" s="129" t="s">
        <v>120</v>
      </c>
      <c r="S20" s="129"/>
      <c r="T20" s="129" t="s">
        <v>96</v>
      </c>
      <c r="U20" s="129" t="s">
        <v>97</v>
      </c>
      <c r="V20" s="129" t="s">
        <v>98</v>
      </c>
      <c r="W20" s="140"/>
      <c r="X20" s="141"/>
      <c r="Y20" s="144" t="s">
        <v>116</v>
      </c>
      <c r="Z20" s="133">
        <v>45618</v>
      </c>
      <c r="AA20" s="133">
        <v>45618</v>
      </c>
      <c r="AB20" s="133">
        <v>45618</v>
      </c>
      <c r="AC20" s="133"/>
      <c r="AD20" s="133"/>
      <c r="AE20" s="137" t="s">
        <v>121</v>
      </c>
      <c r="AF20" s="145" t="s">
        <v>122</v>
      </c>
      <c r="AG20" s="129" t="s">
        <v>119</v>
      </c>
      <c r="AH20" s="129" t="s">
        <v>120</v>
      </c>
      <c r="AI20" s="129"/>
      <c r="AJ20" s="129" t="s">
        <v>109</v>
      </c>
      <c r="AK20" s="146" t="s">
        <v>116</v>
      </c>
      <c r="AL20" s="129" t="s">
        <v>35</v>
      </c>
      <c r="AM20" s="147" t="s">
        <v>123</v>
      </c>
      <c r="AN20" s="147" t="s">
        <v>124</v>
      </c>
      <c r="AO20" s="147" t="s">
        <v>113</v>
      </c>
      <c r="AP20" s="129" t="s">
        <v>114</v>
      </c>
      <c r="AQ20" s="129" t="s">
        <v>125</v>
      </c>
      <c r="AR20" s="140"/>
      <c r="AS20" s="140"/>
      <c r="AT20" s="150"/>
      <c r="AU20" s="144" t="s">
        <v>126</v>
      </c>
      <c r="AV20" s="133">
        <v>45618</v>
      </c>
      <c r="AW20" s="133">
        <v>45618</v>
      </c>
      <c r="AX20" s="140"/>
      <c r="AY20" s="141"/>
      <c r="AZ20" s="156"/>
      <c r="BA20" s="159" t="s">
        <v>127</v>
      </c>
      <c r="BB20" s="158" t="s">
        <v>102</v>
      </c>
    </row>
    <row r="21" spans="1:54" ht="192" x14ac:dyDescent="0.15">
      <c r="A21" s="126">
        <f t="shared" si="6"/>
        <v>12</v>
      </c>
      <c r="B21" s="127"/>
      <c r="C21" s="128" t="str">
        <f t="shared" si="8"/>
        <v>検証完了</v>
      </c>
      <c r="D21" s="129" t="s">
        <v>35</v>
      </c>
      <c r="E21" s="130" t="str">
        <f t="shared" si="1"/>
        <v>0012</v>
      </c>
      <c r="F21" s="131" t="str">
        <f t="shared" si="4"/>
        <v>IT-0012</v>
      </c>
      <c r="G21" s="132" t="s">
        <v>116</v>
      </c>
      <c r="H21" s="133">
        <v>45616</v>
      </c>
      <c r="I21" s="133">
        <v>45616</v>
      </c>
      <c r="J21" s="133">
        <v>45616</v>
      </c>
      <c r="K21" s="137" t="s">
        <v>117</v>
      </c>
      <c r="L21" s="137" t="s">
        <v>137</v>
      </c>
      <c r="M21" s="129"/>
      <c r="N21" s="129"/>
      <c r="O21" s="130" t="str">
        <f t="shared" si="7"/>
        <v/>
      </c>
      <c r="P21" s="138"/>
      <c r="Q21" s="129" t="s">
        <v>119</v>
      </c>
      <c r="R21" s="129" t="s">
        <v>120</v>
      </c>
      <c r="S21" s="129"/>
      <c r="T21" s="129" t="s">
        <v>96</v>
      </c>
      <c r="U21" s="129" t="s">
        <v>97</v>
      </c>
      <c r="V21" s="129" t="s">
        <v>98</v>
      </c>
      <c r="W21" s="140"/>
      <c r="X21" s="141"/>
      <c r="Y21" s="144" t="s">
        <v>116</v>
      </c>
      <c r="Z21" s="133">
        <v>45618</v>
      </c>
      <c r="AA21" s="133">
        <v>45618</v>
      </c>
      <c r="AB21" s="133">
        <v>45618</v>
      </c>
      <c r="AC21" s="133"/>
      <c r="AD21" s="133"/>
      <c r="AE21" s="137" t="s">
        <v>121</v>
      </c>
      <c r="AF21" s="145" t="s">
        <v>122</v>
      </c>
      <c r="AG21" s="129" t="s">
        <v>119</v>
      </c>
      <c r="AH21" s="129" t="s">
        <v>120</v>
      </c>
      <c r="AI21" s="129"/>
      <c r="AJ21" s="129" t="s">
        <v>109</v>
      </c>
      <c r="AK21" s="146" t="s">
        <v>116</v>
      </c>
      <c r="AL21" s="129" t="s">
        <v>35</v>
      </c>
      <c r="AM21" s="147" t="s">
        <v>123</v>
      </c>
      <c r="AN21" s="147" t="s">
        <v>124</v>
      </c>
      <c r="AO21" s="147" t="s">
        <v>113</v>
      </c>
      <c r="AP21" s="129" t="s">
        <v>114</v>
      </c>
      <c r="AQ21" s="129" t="s">
        <v>125</v>
      </c>
      <c r="AR21" s="140"/>
      <c r="AS21" s="140"/>
      <c r="AT21" s="150"/>
      <c r="AU21" s="144" t="s">
        <v>126</v>
      </c>
      <c r="AV21" s="133">
        <v>45618</v>
      </c>
      <c r="AW21" s="133">
        <v>45618</v>
      </c>
      <c r="AX21" s="140"/>
      <c r="AY21" s="141"/>
      <c r="AZ21" s="156"/>
      <c r="BA21" s="159" t="s">
        <v>127</v>
      </c>
      <c r="BB21" s="158" t="s">
        <v>102</v>
      </c>
    </row>
    <row r="22" spans="1:54" ht="192" x14ac:dyDescent="0.15">
      <c r="A22" s="126">
        <f t="shared" si="6"/>
        <v>13</v>
      </c>
      <c r="B22" s="127"/>
      <c r="C22" s="128" t="str">
        <f t="shared" si="8"/>
        <v>検証完了</v>
      </c>
      <c r="D22" s="129" t="s">
        <v>35</v>
      </c>
      <c r="E22" s="130" t="str">
        <f t="shared" si="1"/>
        <v>0013</v>
      </c>
      <c r="F22" s="131" t="str">
        <f t="shared" si="4"/>
        <v>IT-0013</v>
      </c>
      <c r="G22" s="132" t="s">
        <v>116</v>
      </c>
      <c r="H22" s="133">
        <v>45616</v>
      </c>
      <c r="I22" s="133">
        <v>45616</v>
      </c>
      <c r="J22" s="133">
        <v>45616</v>
      </c>
      <c r="K22" s="137" t="s">
        <v>117</v>
      </c>
      <c r="L22" s="137" t="s">
        <v>138</v>
      </c>
      <c r="M22" s="129"/>
      <c r="N22" s="129"/>
      <c r="O22" s="130" t="str">
        <f t="shared" si="7"/>
        <v/>
      </c>
      <c r="P22" s="138"/>
      <c r="Q22" s="129" t="s">
        <v>119</v>
      </c>
      <c r="R22" s="129" t="s">
        <v>120</v>
      </c>
      <c r="S22" s="129"/>
      <c r="T22" s="129" t="s">
        <v>96</v>
      </c>
      <c r="U22" s="129" t="s">
        <v>97</v>
      </c>
      <c r="V22" s="129" t="s">
        <v>98</v>
      </c>
      <c r="W22" s="140"/>
      <c r="X22" s="141"/>
      <c r="Y22" s="144" t="s">
        <v>116</v>
      </c>
      <c r="Z22" s="133">
        <v>45618</v>
      </c>
      <c r="AA22" s="133">
        <v>45618</v>
      </c>
      <c r="AB22" s="133">
        <v>45618</v>
      </c>
      <c r="AC22" s="133"/>
      <c r="AD22" s="133"/>
      <c r="AE22" s="137" t="s">
        <v>121</v>
      </c>
      <c r="AF22" s="145" t="s">
        <v>122</v>
      </c>
      <c r="AG22" s="129" t="s">
        <v>119</v>
      </c>
      <c r="AH22" s="129" t="s">
        <v>120</v>
      </c>
      <c r="AI22" s="129"/>
      <c r="AJ22" s="129" t="s">
        <v>109</v>
      </c>
      <c r="AK22" s="146" t="s">
        <v>116</v>
      </c>
      <c r="AL22" s="129" t="s">
        <v>35</v>
      </c>
      <c r="AM22" s="147" t="s">
        <v>123</v>
      </c>
      <c r="AN22" s="147" t="s">
        <v>124</v>
      </c>
      <c r="AO22" s="147" t="s">
        <v>113</v>
      </c>
      <c r="AP22" s="129" t="s">
        <v>114</v>
      </c>
      <c r="AQ22" s="129" t="s">
        <v>125</v>
      </c>
      <c r="AR22" s="140"/>
      <c r="AS22" s="140"/>
      <c r="AT22" s="150"/>
      <c r="AU22" s="144" t="s">
        <v>126</v>
      </c>
      <c r="AV22" s="133">
        <v>45618</v>
      </c>
      <c r="AW22" s="133">
        <v>45618</v>
      </c>
      <c r="AX22" s="140"/>
      <c r="AY22" s="141"/>
      <c r="AZ22" s="156"/>
      <c r="BA22" s="159" t="s">
        <v>127</v>
      </c>
      <c r="BB22" s="158" t="s">
        <v>102</v>
      </c>
    </row>
    <row r="23" spans="1:54" ht="192" x14ac:dyDescent="0.15">
      <c r="A23" s="126">
        <f t="shared" si="6"/>
        <v>14</v>
      </c>
      <c r="B23" s="127"/>
      <c r="C23" s="128" t="str">
        <f t="shared" si="8"/>
        <v>検証完了</v>
      </c>
      <c r="D23" s="129" t="s">
        <v>35</v>
      </c>
      <c r="E23" s="130" t="str">
        <f t="shared" si="1"/>
        <v>0014</v>
      </c>
      <c r="F23" s="131" t="str">
        <f t="shared" si="4"/>
        <v>IT-0014</v>
      </c>
      <c r="G23" s="132" t="s">
        <v>116</v>
      </c>
      <c r="H23" s="133">
        <v>45616</v>
      </c>
      <c r="I23" s="133">
        <v>45616</v>
      </c>
      <c r="J23" s="133">
        <v>45616</v>
      </c>
      <c r="K23" s="137" t="s">
        <v>117</v>
      </c>
      <c r="L23" s="137" t="s">
        <v>139</v>
      </c>
      <c r="M23" s="129"/>
      <c r="N23" s="129"/>
      <c r="O23" s="130" t="str">
        <f t="shared" si="7"/>
        <v/>
      </c>
      <c r="P23" s="138"/>
      <c r="Q23" s="129" t="s">
        <v>119</v>
      </c>
      <c r="R23" s="129" t="s">
        <v>120</v>
      </c>
      <c r="S23" s="129"/>
      <c r="T23" s="129" t="s">
        <v>96</v>
      </c>
      <c r="U23" s="129" t="s">
        <v>97</v>
      </c>
      <c r="V23" s="129" t="s">
        <v>98</v>
      </c>
      <c r="W23" s="140"/>
      <c r="X23" s="141"/>
      <c r="Y23" s="144" t="s">
        <v>116</v>
      </c>
      <c r="Z23" s="133">
        <v>45618</v>
      </c>
      <c r="AA23" s="133">
        <v>45618</v>
      </c>
      <c r="AB23" s="133">
        <v>45618</v>
      </c>
      <c r="AC23" s="133"/>
      <c r="AD23" s="133"/>
      <c r="AE23" s="137" t="s">
        <v>121</v>
      </c>
      <c r="AF23" s="145" t="s">
        <v>122</v>
      </c>
      <c r="AG23" s="129" t="s">
        <v>119</v>
      </c>
      <c r="AH23" s="129" t="s">
        <v>120</v>
      </c>
      <c r="AI23" s="129"/>
      <c r="AJ23" s="129" t="s">
        <v>109</v>
      </c>
      <c r="AK23" s="146" t="s">
        <v>116</v>
      </c>
      <c r="AL23" s="129" t="s">
        <v>35</v>
      </c>
      <c r="AM23" s="147" t="s">
        <v>123</v>
      </c>
      <c r="AN23" s="147" t="s">
        <v>124</v>
      </c>
      <c r="AO23" s="147" t="s">
        <v>113</v>
      </c>
      <c r="AP23" s="129" t="s">
        <v>114</v>
      </c>
      <c r="AQ23" s="129" t="s">
        <v>125</v>
      </c>
      <c r="AR23" s="140"/>
      <c r="AS23" s="140"/>
      <c r="AT23" s="150"/>
      <c r="AU23" s="144" t="s">
        <v>126</v>
      </c>
      <c r="AV23" s="133">
        <v>45618</v>
      </c>
      <c r="AW23" s="133">
        <v>45618</v>
      </c>
      <c r="AX23" s="140"/>
      <c r="AY23" s="141"/>
      <c r="AZ23" s="156"/>
      <c r="BA23" s="159" t="s">
        <v>127</v>
      </c>
      <c r="BB23" s="158" t="s">
        <v>102</v>
      </c>
    </row>
    <row r="24" spans="1:54" ht="192" x14ac:dyDescent="0.15">
      <c r="A24" s="126">
        <f t="shared" si="6"/>
        <v>15</v>
      </c>
      <c r="B24" s="127"/>
      <c r="C24" s="128" t="str">
        <f t="shared" si="8"/>
        <v>検証完了</v>
      </c>
      <c r="D24" s="129" t="s">
        <v>35</v>
      </c>
      <c r="E24" s="130" t="str">
        <f t="shared" si="1"/>
        <v>0015</v>
      </c>
      <c r="F24" s="131" t="str">
        <f t="shared" si="4"/>
        <v>IT-0015</v>
      </c>
      <c r="G24" s="132" t="s">
        <v>116</v>
      </c>
      <c r="H24" s="133">
        <v>45616</v>
      </c>
      <c r="I24" s="133">
        <v>45616</v>
      </c>
      <c r="J24" s="133">
        <v>45616</v>
      </c>
      <c r="K24" s="137" t="s">
        <v>117</v>
      </c>
      <c r="L24" s="137" t="s">
        <v>140</v>
      </c>
      <c r="M24" s="129"/>
      <c r="N24" s="129"/>
      <c r="O24" s="130" t="str">
        <f t="shared" si="7"/>
        <v/>
      </c>
      <c r="P24" s="138"/>
      <c r="Q24" s="129" t="s">
        <v>119</v>
      </c>
      <c r="R24" s="129" t="s">
        <v>120</v>
      </c>
      <c r="S24" s="129"/>
      <c r="T24" s="129" t="s">
        <v>96</v>
      </c>
      <c r="U24" s="129" t="s">
        <v>97</v>
      </c>
      <c r="V24" s="129" t="s">
        <v>98</v>
      </c>
      <c r="W24" s="140"/>
      <c r="X24" s="141"/>
      <c r="Y24" s="144" t="s">
        <v>116</v>
      </c>
      <c r="Z24" s="133">
        <v>45618</v>
      </c>
      <c r="AA24" s="133">
        <v>45618</v>
      </c>
      <c r="AB24" s="133">
        <v>45618</v>
      </c>
      <c r="AC24" s="133"/>
      <c r="AD24" s="133"/>
      <c r="AE24" s="137" t="s">
        <v>121</v>
      </c>
      <c r="AF24" s="145" t="s">
        <v>122</v>
      </c>
      <c r="AG24" s="129" t="s">
        <v>119</v>
      </c>
      <c r="AH24" s="129" t="s">
        <v>120</v>
      </c>
      <c r="AI24" s="129"/>
      <c r="AJ24" s="129" t="s">
        <v>109</v>
      </c>
      <c r="AK24" s="146" t="s">
        <v>116</v>
      </c>
      <c r="AL24" s="129" t="s">
        <v>35</v>
      </c>
      <c r="AM24" s="147" t="s">
        <v>123</v>
      </c>
      <c r="AN24" s="147" t="s">
        <v>124</v>
      </c>
      <c r="AO24" s="147" t="s">
        <v>113</v>
      </c>
      <c r="AP24" s="129" t="s">
        <v>114</v>
      </c>
      <c r="AQ24" s="129" t="s">
        <v>125</v>
      </c>
      <c r="AR24" s="140"/>
      <c r="AS24" s="140"/>
      <c r="AT24" s="150"/>
      <c r="AU24" s="144" t="s">
        <v>126</v>
      </c>
      <c r="AV24" s="133">
        <v>45618</v>
      </c>
      <c r="AW24" s="133">
        <v>45618</v>
      </c>
      <c r="AX24" s="140"/>
      <c r="AY24" s="141"/>
      <c r="AZ24" s="156"/>
      <c r="BA24" s="159" t="s">
        <v>127</v>
      </c>
      <c r="BB24" s="158" t="s">
        <v>102</v>
      </c>
    </row>
    <row r="25" spans="1:54" ht="192" x14ac:dyDescent="0.15">
      <c r="A25" s="126">
        <f t="shared" si="6"/>
        <v>16</v>
      </c>
      <c r="B25" s="127"/>
      <c r="C25" s="128" t="str">
        <f t="shared" si="8"/>
        <v>検証完了</v>
      </c>
      <c r="D25" s="129" t="s">
        <v>35</v>
      </c>
      <c r="E25" s="130" t="str">
        <f t="shared" si="1"/>
        <v>0016</v>
      </c>
      <c r="F25" s="131" t="str">
        <f t="shared" si="4"/>
        <v>IT-0016</v>
      </c>
      <c r="G25" s="132" t="s">
        <v>116</v>
      </c>
      <c r="H25" s="133">
        <v>45616</v>
      </c>
      <c r="I25" s="133">
        <v>45616</v>
      </c>
      <c r="J25" s="133">
        <v>45616</v>
      </c>
      <c r="K25" s="137" t="s">
        <v>117</v>
      </c>
      <c r="L25" s="137" t="s">
        <v>141</v>
      </c>
      <c r="M25" s="129"/>
      <c r="N25" s="129"/>
      <c r="O25" s="130" t="str">
        <f t="shared" si="7"/>
        <v/>
      </c>
      <c r="P25" s="138"/>
      <c r="Q25" s="129" t="s">
        <v>119</v>
      </c>
      <c r="R25" s="129" t="s">
        <v>120</v>
      </c>
      <c r="S25" s="129"/>
      <c r="T25" s="129" t="s">
        <v>96</v>
      </c>
      <c r="U25" s="129" t="s">
        <v>97</v>
      </c>
      <c r="V25" s="129" t="s">
        <v>98</v>
      </c>
      <c r="W25" s="140"/>
      <c r="X25" s="141"/>
      <c r="Y25" s="144" t="s">
        <v>116</v>
      </c>
      <c r="Z25" s="133">
        <v>45618</v>
      </c>
      <c r="AA25" s="133">
        <v>45618</v>
      </c>
      <c r="AB25" s="133">
        <v>45618</v>
      </c>
      <c r="AC25" s="133"/>
      <c r="AD25" s="133"/>
      <c r="AE25" s="137" t="s">
        <v>121</v>
      </c>
      <c r="AF25" s="145" t="s">
        <v>122</v>
      </c>
      <c r="AG25" s="129" t="s">
        <v>119</v>
      </c>
      <c r="AH25" s="129" t="s">
        <v>120</v>
      </c>
      <c r="AI25" s="129"/>
      <c r="AJ25" s="129" t="s">
        <v>109</v>
      </c>
      <c r="AK25" s="146" t="s">
        <v>116</v>
      </c>
      <c r="AL25" s="129" t="s">
        <v>35</v>
      </c>
      <c r="AM25" s="147" t="s">
        <v>123</v>
      </c>
      <c r="AN25" s="147" t="s">
        <v>124</v>
      </c>
      <c r="AO25" s="147" t="s">
        <v>113</v>
      </c>
      <c r="AP25" s="129" t="s">
        <v>114</v>
      </c>
      <c r="AQ25" s="129" t="s">
        <v>125</v>
      </c>
      <c r="AR25" s="140"/>
      <c r="AS25" s="140"/>
      <c r="AT25" s="150"/>
      <c r="AU25" s="144" t="s">
        <v>126</v>
      </c>
      <c r="AV25" s="133">
        <v>45618</v>
      </c>
      <c r="AW25" s="133">
        <v>45618</v>
      </c>
      <c r="AX25" s="140"/>
      <c r="AY25" s="141"/>
      <c r="AZ25" s="156"/>
      <c r="BA25" s="159" t="s">
        <v>127</v>
      </c>
      <c r="BB25" s="158" t="s">
        <v>102</v>
      </c>
    </row>
    <row r="26" spans="1:54" ht="180" x14ac:dyDescent="0.15">
      <c r="A26" s="126">
        <f t="shared" si="6"/>
        <v>17</v>
      </c>
      <c r="B26" s="127"/>
      <c r="C26" s="128" t="str">
        <f t="shared" si="8"/>
        <v>検証完了</v>
      </c>
      <c r="D26" s="129" t="s">
        <v>35</v>
      </c>
      <c r="E26" s="130" t="str">
        <f t="shared" si="1"/>
        <v>0017</v>
      </c>
      <c r="F26" s="131" t="str">
        <f t="shared" si="4"/>
        <v>IT-0017</v>
      </c>
      <c r="G26" s="132" t="s">
        <v>116</v>
      </c>
      <c r="H26" s="133">
        <v>45616</v>
      </c>
      <c r="I26" s="133">
        <v>45616</v>
      </c>
      <c r="J26" s="133">
        <v>45616</v>
      </c>
      <c r="K26" s="137" t="s">
        <v>117</v>
      </c>
      <c r="L26" s="137" t="s">
        <v>142</v>
      </c>
      <c r="M26" s="129"/>
      <c r="N26" s="129"/>
      <c r="O26" s="130" t="str">
        <f t="shared" si="7"/>
        <v/>
      </c>
      <c r="P26" s="138"/>
      <c r="Q26" s="129" t="s">
        <v>119</v>
      </c>
      <c r="R26" s="129" t="s">
        <v>120</v>
      </c>
      <c r="S26" s="129"/>
      <c r="T26" s="129" t="s">
        <v>96</v>
      </c>
      <c r="U26" s="129" t="s">
        <v>97</v>
      </c>
      <c r="V26" s="129" t="s">
        <v>98</v>
      </c>
      <c r="W26" s="140"/>
      <c r="X26" s="141"/>
      <c r="Y26" s="144" t="s">
        <v>116</v>
      </c>
      <c r="Z26" s="133">
        <v>45618</v>
      </c>
      <c r="AA26" s="133">
        <v>45618</v>
      </c>
      <c r="AB26" s="133">
        <v>45618</v>
      </c>
      <c r="AC26" s="133"/>
      <c r="AD26" s="133"/>
      <c r="AE26" s="137" t="s">
        <v>121</v>
      </c>
      <c r="AF26" s="145" t="s">
        <v>122</v>
      </c>
      <c r="AG26" s="129" t="s">
        <v>119</v>
      </c>
      <c r="AH26" s="129" t="s">
        <v>120</v>
      </c>
      <c r="AI26" s="129"/>
      <c r="AJ26" s="129" t="s">
        <v>109</v>
      </c>
      <c r="AK26" s="146" t="s">
        <v>116</v>
      </c>
      <c r="AL26" s="129" t="s">
        <v>35</v>
      </c>
      <c r="AM26" s="147" t="s">
        <v>123</v>
      </c>
      <c r="AN26" s="147" t="s">
        <v>124</v>
      </c>
      <c r="AO26" s="147" t="s">
        <v>113</v>
      </c>
      <c r="AP26" s="129" t="s">
        <v>114</v>
      </c>
      <c r="AQ26" s="129" t="s">
        <v>125</v>
      </c>
      <c r="AR26" s="140"/>
      <c r="AS26" s="140"/>
      <c r="AT26" s="150"/>
      <c r="AU26" s="144" t="s">
        <v>126</v>
      </c>
      <c r="AV26" s="133">
        <v>45618</v>
      </c>
      <c r="AW26" s="133">
        <v>45618</v>
      </c>
      <c r="AX26" s="140"/>
      <c r="AY26" s="141"/>
      <c r="AZ26" s="156"/>
      <c r="BA26" s="159" t="s">
        <v>127</v>
      </c>
      <c r="BB26" s="158" t="s">
        <v>102</v>
      </c>
    </row>
    <row r="27" spans="1:54" ht="192" x14ac:dyDescent="0.15">
      <c r="A27" s="126">
        <f t="shared" si="6"/>
        <v>18</v>
      </c>
      <c r="B27" s="127"/>
      <c r="C27" s="128" t="str">
        <f t="shared" si="8"/>
        <v>検証完了</v>
      </c>
      <c r="D27" s="129" t="s">
        <v>35</v>
      </c>
      <c r="E27" s="130" t="str">
        <f t="shared" si="1"/>
        <v>0018</v>
      </c>
      <c r="F27" s="131" t="str">
        <f t="shared" si="4"/>
        <v>IT-0018</v>
      </c>
      <c r="G27" s="132" t="s">
        <v>116</v>
      </c>
      <c r="H27" s="133">
        <v>45616</v>
      </c>
      <c r="I27" s="133">
        <v>45616</v>
      </c>
      <c r="J27" s="133">
        <v>45616</v>
      </c>
      <c r="K27" s="137" t="s">
        <v>117</v>
      </c>
      <c r="L27" s="137" t="s">
        <v>143</v>
      </c>
      <c r="M27" s="129"/>
      <c r="N27" s="129"/>
      <c r="O27" s="130" t="str">
        <f t="shared" si="7"/>
        <v/>
      </c>
      <c r="P27" s="138"/>
      <c r="Q27" s="129" t="s">
        <v>119</v>
      </c>
      <c r="R27" s="129" t="s">
        <v>120</v>
      </c>
      <c r="S27" s="129"/>
      <c r="T27" s="129" t="s">
        <v>96</v>
      </c>
      <c r="U27" s="129" t="s">
        <v>97</v>
      </c>
      <c r="V27" s="129" t="s">
        <v>98</v>
      </c>
      <c r="W27" s="140"/>
      <c r="X27" s="141"/>
      <c r="Y27" s="144" t="s">
        <v>116</v>
      </c>
      <c r="Z27" s="133">
        <v>45618</v>
      </c>
      <c r="AA27" s="133">
        <v>45618</v>
      </c>
      <c r="AB27" s="133">
        <v>45618</v>
      </c>
      <c r="AC27" s="133"/>
      <c r="AD27" s="133"/>
      <c r="AE27" s="137" t="s">
        <v>121</v>
      </c>
      <c r="AF27" s="145" t="s">
        <v>122</v>
      </c>
      <c r="AG27" s="129" t="s">
        <v>119</v>
      </c>
      <c r="AH27" s="129" t="s">
        <v>120</v>
      </c>
      <c r="AI27" s="129"/>
      <c r="AJ27" s="129" t="s">
        <v>109</v>
      </c>
      <c r="AK27" s="146" t="s">
        <v>116</v>
      </c>
      <c r="AL27" s="129" t="s">
        <v>35</v>
      </c>
      <c r="AM27" s="147" t="s">
        <v>123</v>
      </c>
      <c r="AN27" s="147" t="s">
        <v>124</v>
      </c>
      <c r="AO27" s="147" t="s">
        <v>113</v>
      </c>
      <c r="AP27" s="129" t="s">
        <v>114</v>
      </c>
      <c r="AQ27" s="129" t="s">
        <v>125</v>
      </c>
      <c r="AR27" s="140"/>
      <c r="AS27" s="140"/>
      <c r="AT27" s="150"/>
      <c r="AU27" s="144" t="s">
        <v>126</v>
      </c>
      <c r="AV27" s="133">
        <v>45618</v>
      </c>
      <c r="AW27" s="133">
        <v>45618</v>
      </c>
      <c r="AX27" s="140"/>
      <c r="AY27" s="141"/>
      <c r="AZ27" s="156"/>
      <c r="BA27" s="159" t="s">
        <v>127</v>
      </c>
      <c r="BB27" s="158" t="s">
        <v>102</v>
      </c>
    </row>
    <row r="28" spans="1:54" ht="192" x14ac:dyDescent="0.15">
      <c r="A28" s="126">
        <f t="shared" si="6"/>
        <v>19</v>
      </c>
      <c r="B28" s="127"/>
      <c r="C28" s="128" t="str">
        <f t="shared" si="8"/>
        <v>検証完了</v>
      </c>
      <c r="D28" s="129" t="s">
        <v>35</v>
      </c>
      <c r="E28" s="130" t="str">
        <f t="shared" si="1"/>
        <v>0019</v>
      </c>
      <c r="F28" s="131" t="str">
        <f t="shared" si="4"/>
        <v>IT-0019</v>
      </c>
      <c r="G28" s="132" t="s">
        <v>116</v>
      </c>
      <c r="H28" s="133">
        <v>45616</v>
      </c>
      <c r="I28" s="133">
        <v>45616</v>
      </c>
      <c r="J28" s="133">
        <v>45616</v>
      </c>
      <c r="K28" s="137" t="s">
        <v>117</v>
      </c>
      <c r="L28" s="137" t="s">
        <v>144</v>
      </c>
      <c r="M28" s="129"/>
      <c r="N28" s="129"/>
      <c r="O28" s="130" t="str">
        <f t="shared" si="7"/>
        <v/>
      </c>
      <c r="P28" s="138"/>
      <c r="Q28" s="129" t="s">
        <v>119</v>
      </c>
      <c r="R28" s="129" t="s">
        <v>120</v>
      </c>
      <c r="S28" s="129"/>
      <c r="T28" s="129" t="s">
        <v>96</v>
      </c>
      <c r="U28" s="129" t="s">
        <v>97</v>
      </c>
      <c r="V28" s="129" t="s">
        <v>98</v>
      </c>
      <c r="W28" s="140"/>
      <c r="X28" s="141"/>
      <c r="Y28" s="144" t="s">
        <v>116</v>
      </c>
      <c r="Z28" s="133">
        <v>45618</v>
      </c>
      <c r="AA28" s="133">
        <v>45618</v>
      </c>
      <c r="AB28" s="133">
        <v>45618</v>
      </c>
      <c r="AC28" s="133"/>
      <c r="AD28" s="133"/>
      <c r="AE28" s="137" t="s">
        <v>121</v>
      </c>
      <c r="AF28" s="145" t="s">
        <v>122</v>
      </c>
      <c r="AG28" s="129" t="s">
        <v>119</v>
      </c>
      <c r="AH28" s="129" t="s">
        <v>120</v>
      </c>
      <c r="AI28" s="129"/>
      <c r="AJ28" s="129" t="s">
        <v>109</v>
      </c>
      <c r="AK28" s="146" t="s">
        <v>116</v>
      </c>
      <c r="AL28" s="129" t="s">
        <v>35</v>
      </c>
      <c r="AM28" s="147" t="s">
        <v>123</v>
      </c>
      <c r="AN28" s="147" t="s">
        <v>124</v>
      </c>
      <c r="AO28" s="147" t="s">
        <v>113</v>
      </c>
      <c r="AP28" s="129" t="s">
        <v>114</v>
      </c>
      <c r="AQ28" s="129" t="s">
        <v>125</v>
      </c>
      <c r="AR28" s="140"/>
      <c r="AS28" s="140"/>
      <c r="AT28" s="150"/>
      <c r="AU28" s="144" t="s">
        <v>126</v>
      </c>
      <c r="AV28" s="133">
        <v>45618</v>
      </c>
      <c r="AW28" s="133">
        <v>45618</v>
      </c>
      <c r="AX28" s="140"/>
      <c r="AY28" s="141"/>
      <c r="AZ28" s="156"/>
      <c r="BA28" s="159" t="s">
        <v>127</v>
      </c>
      <c r="BB28" s="158" t="s">
        <v>102</v>
      </c>
    </row>
    <row r="29" spans="1:54" ht="192" x14ac:dyDescent="0.15">
      <c r="A29" s="126">
        <f t="shared" si="6"/>
        <v>20</v>
      </c>
      <c r="B29" s="127"/>
      <c r="C29" s="128" t="str">
        <f t="shared" si="8"/>
        <v>検証完了</v>
      </c>
      <c r="D29" s="129" t="s">
        <v>35</v>
      </c>
      <c r="E29" s="130" t="str">
        <f t="shared" si="1"/>
        <v>0020</v>
      </c>
      <c r="F29" s="131" t="str">
        <f t="shared" si="4"/>
        <v>IT-0020</v>
      </c>
      <c r="G29" s="132" t="s">
        <v>116</v>
      </c>
      <c r="H29" s="133">
        <v>45616</v>
      </c>
      <c r="I29" s="133">
        <v>45616</v>
      </c>
      <c r="J29" s="133">
        <v>45616</v>
      </c>
      <c r="K29" s="137" t="s">
        <v>117</v>
      </c>
      <c r="L29" s="137" t="s">
        <v>145</v>
      </c>
      <c r="M29" s="129"/>
      <c r="N29" s="129"/>
      <c r="O29" s="130" t="str">
        <f t="shared" si="7"/>
        <v/>
      </c>
      <c r="P29" s="138"/>
      <c r="Q29" s="129" t="s">
        <v>119</v>
      </c>
      <c r="R29" s="129" t="s">
        <v>120</v>
      </c>
      <c r="S29" s="129"/>
      <c r="T29" s="129" t="s">
        <v>96</v>
      </c>
      <c r="U29" s="129" t="s">
        <v>97</v>
      </c>
      <c r="V29" s="129" t="s">
        <v>98</v>
      </c>
      <c r="W29" s="140"/>
      <c r="X29" s="141"/>
      <c r="Y29" s="144" t="s">
        <v>116</v>
      </c>
      <c r="Z29" s="133">
        <v>45618</v>
      </c>
      <c r="AA29" s="133">
        <v>45618</v>
      </c>
      <c r="AB29" s="133">
        <v>45618</v>
      </c>
      <c r="AC29" s="133"/>
      <c r="AD29" s="133"/>
      <c r="AE29" s="137" t="s">
        <v>121</v>
      </c>
      <c r="AF29" s="145" t="s">
        <v>122</v>
      </c>
      <c r="AG29" s="129" t="s">
        <v>119</v>
      </c>
      <c r="AH29" s="129" t="s">
        <v>120</v>
      </c>
      <c r="AI29" s="129"/>
      <c r="AJ29" s="129" t="s">
        <v>109</v>
      </c>
      <c r="AK29" s="146" t="s">
        <v>116</v>
      </c>
      <c r="AL29" s="129" t="s">
        <v>35</v>
      </c>
      <c r="AM29" s="147" t="s">
        <v>123</v>
      </c>
      <c r="AN29" s="147" t="s">
        <v>124</v>
      </c>
      <c r="AO29" s="147" t="s">
        <v>113</v>
      </c>
      <c r="AP29" s="129" t="s">
        <v>114</v>
      </c>
      <c r="AQ29" s="129" t="s">
        <v>125</v>
      </c>
      <c r="AR29" s="140"/>
      <c r="AS29" s="140"/>
      <c r="AT29" s="150"/>
      <c r="AU29" s="144" t="s">
        <v>126</v>
      </c>
      <c r="AV29" s="133">
        <v>45618</v>
      </c>
      <c r="AW29" s="133">
        <v>45618</v>
      </c>
      <c r="AX29" s="140"/>
      <c r="AY29" s="141"/>
      <c r="AZ29" s="156"/>
      <c r="BA29" s="159" t="s">
        <v>127</v>
      </c>
      <c r="BB29" s="158" t="s">
        <v>102</v>
      </c>
    </row>
    <row r="30" spans="1:54" ht="192" x14ac:dyDescent="0.15">
      <c r="A30" s="126">
        <f t="shared" si="6"/>
        <v>21</v>
      </c>
      <c r="B30" s="127"/>
      <c r="C30" s="128" t="str">
        <f t="shared" si="8"/>
        <v>検証完了</v>
      </c>
      <c r="D30" s="129" t="s">
        <v>35</v>
      </c>
      <c r="E30" s="130" t="str">
        <f t="shared" si="1"/>
        <v>0021</v>
      </c>
      <c r="F30" s="131" t="str">
        <f t="shared" si="4"/>
        <v>IT-0021</v>
      </c>
      <c r="G30" s="132" t="s">
        <v>116</v>
      </c>
      <c r="H30" s="133">
        <v>45616</v>
      </c>
      <c r="I30" s="133">
        <v>45616</v>
      </c>
      <c r="J30" s="133">
        <v>45616</v>
      </c>
      <c r="K30" s="137" t="s">
        <v>117</v>
      </c>
      <c r="L30" s="137" t="s">
        <v>146</v>
      </c>
      <c r="M30" s="129"/>
      <c r="N30" s="129"/>
      <c r="O30" s="130" t="str">
        <f t="shared" si="7"/>
        <v/>
      </c>
      <c r="P30" s="138"/>
      <c r="Q30" s="129" t="s">
        <v>119</v>
      </c>
      <c r="R30" s="129" t="s">
        <v>120</v>
      </c>
      <c r="S30" s="129"/>
      <c r="T30" s="129" t="s">
        <v>96</v>
      </c>
      <c r="U30" s="129" t="s">
        <v>97</v>
      </c>
      <c r="V30" s="129" t="s">
        <v>98</v>
      </c>
      <c r="W30" s="140"/>
      <c r="X30" s="141"/>
      <c r="Y30" s="144" t="s">
        <v>116</v>
      </c>
      <c r="Z30" s="133">
        <v>45618</v>
      </c>
      <c r="AA30" s="133">
        <v>45618</v>
      </c>
      <c r="AB30" s="133">
        <v>45618</v>
      </c>
      <c r="AC30" s="133"/>
      <c r="AD30" s="133"/>
      <c r="AE30" s="137" t="s">
        <v>121</v>
      </c>
      <c r="AF30" s="145" t="s">
        <v>122</v>
      </c>
      <c r="AG30" s="129" t="s">
        <v>119</v>
      </c>
      <c r="AH30" s="129" t="s">
        <v>120</v>
      </c>
      <c r="AI30" s="129"/>
      <c r="AJ30" s="129" t="s">
        <v>109</v>
      </c>
      <c r="AK30" s="146" t="s">
        <v>116</v>
      </c>
      <c r="AL30" s="129" t="s">
        <v>35</v>
      </c>
      <c r="AM30" s="147" t="s">
        <v>123</v>
      </c>
      <c r="AN30" s="147" t="s">
        <v>124</v>
      </c>
      <c r="AO30" s="147" t="s">
        <v>113</v>
      </c>
      <c r="AP30" s="129" t="s">
        <v>114</v>
      </c>
      <c r="AQ30" s="129" t="s">
        <v>125</v>
      </c>
      <c r="AR30" s="140"/>
      <c r="AS30" s="140"/>
      <c r="AT30" s="150"/>
      <c r="AU30" s="144" t="s">
        <v>126</v>
      </c>
      <c r="AV30" s="133">
        <v>45618</v>
      </c>
      <c r="AW30" s="133">
        <v>45618</v>
      </c>
      <c r="AX30" s="140"/>
      <c r="AY30" s="141"/>
      <c r="AZ30" s="156"/>
      <c r="BA30" s="159" t="s">
        <v>127</v>
      </c>
      <c r="BB30" s="158" t="s">
        <v>102</v>
      </c>
    </row>
    <row r="31" spans="1:54" ht="144" x14ac:dyDescent="0.15">
      <c r="A31" s="126">
        <f t="shared" si="6"/>
        <v>22</v>
      </c>
      <c r="B31" s="127"/>
      <c r="C31" s="128" t="str">
        <f t="shared" si="8"/>
        <v>検証完了</v>
      </c>
      <c r="D31" s="129" t="s">
        <v>35</v>
      </c>
      <c r="E31" s="130" t="str">
        <f t="shared" si="1"/>
        <v>0022</v>
      </c>
      <c r="F31" s="131" t="str">
        <f t="shared" si="4"/>
        <v>IT-0022</v>
      </c>
      <c r="G31" s="132" t="s">
        <v>147</v>
      </c>
      <c r="H31" s="133">
        <v>45617</v>
      </c>
      <c r="I31" s="133">
        <v>45617</v>
      </c>
      <c r="J31" s="133">
        <v>45617</v>
      </c>
      <c r="K31" s="137" t="s">
        <v>148</v>
      </c>
      <c r="L31" s="137" t="s">
        <v>149</v>
      </c>
      <c r="M31" s="129"/>
      <c r="N31" s="129"/>
      <c r="O31" s="130" t="str">
        <f t="shared" si="5"/>
        <v/>
      </c>
      <c r="P31" s="138"/>
      <c r="Q31" s="129" t="s">
        <v>94</v>
      </c>
      <c r="R31" s="129" t="s">
        <v>94</v>
      </c>
      <c r="S31" s="129"/>
      <c r="T31" s="129" t="s">
        <v>96</v>
      </c>
      <c r="U31" s="129" t="s">
        <v>97</v>
      </c>
      <c r="V31" s="129" t="s">
        <v>98</v>
      </c>
      <c r="W31" s="140"/>
      <c r="X31" s="141"/>
      <c r="Y31" s="144" t="s">
        <v>106</v>
      </c>
      <c r="Z31" s="133">
        <v>45617</v>
      </c>
      <c r="AA31" s="133">
        <v>45617</v>
      </c>
      <c r="AB31" s="133">
        <v>45621</v>
      </c>
      <c r="AC31" s="133"/>
      <c r="AD31" s="133"/>
      <c r="AE31" s="137" t="s">
        <v>150</v>
      </c>
      <c r="AF31" s="145" t="s">
        <v>151</v>
      </c>
      <c r="AG31" s="129" t="s">
        <v>94</v>
      </c>
      <c r="AH31" s="129" t="s">
        <v>94</v>
      </c>
      <c r="AI31" s="129"/>
      <c r="AJ31" s="129" t="s">
        <v>109</v>
      </c>
      <c r="AK31" s="170" t="s">
        <v>106</v>
      </c>
      <c r="AL31" s="129" t="s">
        <v>110</v>
      </c>
      <c r="AM31" s="147" t="s">
        <v>111</v>
      </c>
      <c r="AN31" s="147" t="s">
        <v>409</v>
      </c>
      <c r="AO31" s="147" t="s">
        <v>113</v>
      </c>
      <c r="AP31" s="129" t="s">
        <v>114</v>
      </c>
      <c r="AQ31" s="129" t="s">
        <v>115</v>
      </c>
      <c r="AR31" s="140"/>
      <c r="AS31" s="140"/>
      <c r="AT31" s="150"/>
      <c r="AU31" s="144" t="s">
        <v>103</v>
      </c>
      <c r="AV31" s="133">
        <v>45617</v>
      </c>
      <c r="AW31" s="133">
        <v>45621</v>
      </c>
      <c r="AX31" s="140"/>
      <c r="AY31" s="141"/>
      <c r="AZ31" s="156"/>
      <c r="BA31" s="159"/>
      <c r="BB31" s="158" t="s">
        <v>102</v>
      </c>
    </row>
    <row r="32" spans="1:54" ht="132" x14ac:dyDescent="0.15">
      <c r="A32" s="126">
        <f t="shared" si="6"/>
        <v>23</v>
      </c>
      <c r="B32" s="127"/>
      <c r="C32" s="128" t="str">
        <f t="shared" si="8"/>
        <v>検証完了</v>
      </c>
      <c r="D32" s="129" t="s">
        <v>35</v>
      </c>
      <c r="E32" s="130" t="str">
        <f t="shared" si="1"/>
        <v>0023</v>
      </c>
      <c r="F32" s="131" t="str">
        <f t="shared" si="4"/>
        <v>IT-0023</v>
      </c>
      <c r="G32" s="132" t="s">
        <v>152</v>
      </c>
      <c r="H32" s="133">
        <v>45617</v>
      </c>
      <c r="I32" s="133">
        <v>45617</v>
      </c>
      <c r="J32" s="133">
        <v>45617</v>
      </c>
      <c r="K32" s="137" t="s">
        <v>153</v>
      </c>
      <c r="L32" s="137" t="s">
        <v>154</v>
      </c>
      <c r="M32" s="129"/>
      <c r="N32" s="129"/>
      <c r="O32" s="130" t="str">
        <f t="shared" si="5"/>
        <v/>
      </c>
      <c r="P32" s="138"/>
      <c r="Q32" s="129" t="s">
        <v>94</v>
      </c>
      <c r="R32" s="129" t="s">
        <v>94</v>
      </c>
      <c r="S32" s="129"/>
      <c r="T32" s="129" t="s">
        <v>96</v>
      </c>
      <c r="U32" s="129" t="s">
        <v>97</v>
      </c>
      <c r="V32" s="129" t="s">
        <v>98</v>
      </c>
      <c r="W32" s="140"/>
      <c r="X32" s="141"/>
      <c r="Y32" s="144" t="s">
        <v>106</v>
      </c>
      <c r="Z32" s="133">
        <v>45617</v>
      </c>
      <c r="AA32" s="133">
        <v>45617</v>
      </c>
      <c r="AB32" s="133">
        <v>45621</v>
      </c>
      <c r="AC32" s="133"/>
      <c r="AD32" s="133"/>
      <c r="AE32" s="137" t="s">
        <v>155</v>
      </c>
      <c r="AF32" s="145" t="s">
        <v>156</v>
      </c>
      <c r="AG32" s="129" t="s">
        <v>94</v>
      </c>
      <c r="AH32" s="129" t="s">
        <v>94</v>
      </c>
      <c r="AI32" s="129"/>
      <c r="AJ32" s="129" t="s">
        <v>109</v>
      </c>
      <c r="AK32" s="146" t="s">
        <v>106</v>
      </c>
      <c r="AL32" s="129" t="s">
        <v>35</v>
      </c>
      <c r="AM32" s="147" t="s">
        <v>490</v>
      </c>
      <c r="AN32" s="147" t="s">
        <v>491</v>
      </c>
      <c r="AO32" s="147" t="s">
        <v>113</v>
      </c>
      <c r="AP32" s="129" t="s">
        <v>114</v>
      </c>
      <c r="AQ32" s="129" t="s">
        <v>299</v>
      </c>
      <c r="AR32" s="140"/>
      <c r="AS32" s="140"/>
      <c r="AT32" s="150"/>
      <c r="AU32" s="144" t="s">
        <v>126</v>
      </c>
      <c r="AV32" s="133">
        <v>45617</v>
      </c>
      <c r="AW32" s="133">
        <v>45621</v>
      </c>
      <c r="AX32" s="140"/>
      <c r="AY32" s="141"/>
      <c r="AZ32" s="156"/>
      <c r="BA32" s="159"/>
      <c r="BB32" s="158" t="s">
        <v>102</v>
      </c>
    </row>
    <row r="33" spans="1:54" ht="132" x14ac:dyDescent="0.15">
      <c r="A33" s="126">
        <f t="shared" si="6"/>
        <v>24</v>
      </c>
      <c r="B33" s="127"/>
      <c r="C33" s="128" t="str">
        <f t="shared" si="8"/>
        <v>検証完了</v>
      </c>
      <c r="D33" s="129" t="s">
        <v>35</v>
      </c>
      <c r="E33" s="130" t="str">
        <f t="shared" si="1"/>
        <v>0024</v>
      </c>
      <c r="F33" s="131" t="str">
        <f t="shared" si="4"/>
        <v>IT-0024</v>
      </c>
      <c r="G33" s="132" t="s">
        <v>152</v>
      </c>
      <c r="H33" s="133">
        <v>45617</v>
      </c>
      <c r="I33" s="133">
        <v>45617</v>
      </c>
      <c r="J33" s="133">
        <v>45617</v>
      </c>
      <c r="K33" s="137" t="s">
        <v>157</v>
      </c>
      <c r="L33" s="137" t="s">
        <v>158</v>
      </c>
      <c r="M33" s="129"/>
      <c r="N33" s="129"/>
      <c r="O33" s="130" t="str">
        <f t="shared" si="5"/>
        <v/>
      </c>
      <c r="P33" s="138"/>
      <c r="Q33" s="129" t="s">
        <v>94</v>
      </c>
      <c r="R33" s="129" t="s">
        <v>94</v>
      </c>
      <c r="S33" s="129"/>
      <c r="T33" s="129" t="s">
        <v>96</v>
      </c>
      <c r="U33" s="129" t="s">
        <v>97</v>
      </c>
      <c r="V33" s="129" t="s">
        <v>98</v>
      </c>
      <c r="W33" s="140"/>
      <c r="X33" s="141"/>
      <c r="Y33" s="144" t="s">
        <v>106</v>
      </c>
      <c r="Z33" s="133">
        <v>45617</v>
      </c>
      <c r="AA33" s="133">
        <v>45617</v>
      </c>
      <c r="AB33" s="133">
        <v>45617</v>
      </c>
      <c r="AC33" s="133"/>
      <c r="AD33" s="133"/>
      <c r="AE33" s="137" t="s">
        <v>159</v>
      </c>
      <c r="AF33" s="145" t="s">
        <v>160</v>
      </c>
      <c r="AG33" s="129" t="s">
        <v>94</v>
      </c>
      <c r="AH33" s="129" t="s">
        <v>94</v>
      </c>
      <c r="AI33" s="129"/>
      <c r="AJ33" s="129" t="s">
        <v>109</v>
      </c>
      <c r="AK33" s="146" t="s">
        <v>106</v>
      </c>
      <c r="AL33" s="129" t="s">
        <v>110</v>
      </c>
      <c r="AM33" s="147" t="s">
        <v>492</v>
      </c>
      <c r="AN33" s="147" t="s">
        <v>493</v>
      </c>
      <c r="AO33" s="147" t="s">
        <v>113</v>
      </c>
      <c r="AP33" s="129" t="s">
        <v>114</v>
      </c>
      <c r="AQ33" s="129" t="s">
        <v>239</v>
      </c>
      <c r="AR33" s="140"/>
      <c r="AS33" s="140"/>
      <c r="AT33" s="150"/>
      <c r="AU33" s="144" t="s">
        <v>126</v>
      </c>
      <c r="AV33" s="133">
        <v>45617</v>
      </c>
      <c r="AW33" s="133">
        <v>45621</v>
      </c>
      <c r="AX33" s="140"/>
      <c r="AY33" s="141"/>
      <c r="AZ33" s="156"/>
      <c r="BA33" s="159"/>
      <c r="BB33" s="158" t="s">
        <v>102</v>
      </c>
    </row>
    <row r="34" spans="1:54" ht="156" x14ac:dyDescent="0.15">
      <c r="A34" s="126">
        <f t="shared" si="6"/>
        <v>25</v>
      </c>
      <c r="B34" s="127"/>
      <c r="C34" s="128" t="str">
        <f t="shared" si="8"/>
        <v>検証完了</v>
      </c>
      <c r="D34" s="129" t="s">
        <v>35</v>
      </c>
      <c r="E34" s="130" t="str">
        <f t="shared" si="1"/>
        <v>0025</v>
      </c>
      <c r="F34" s="131" t="str">
        <f t="shared" si="4"/>
        <v>IT-0025</v>
      </c>
      <c r="G34" s="132" t="s">
        <v>152</v>
      </c>
      <c r="H34" s="133">
        <v>45617</v>
      </c>
      <c r="I34" s="133">
        <v>45617</v>
      </c>
      <c r="J34" s="133">
        <v>45617</v>
      </c>
      <c r="K34" s="137" t="s">
        <v>161</v>
      </c>
      <c r="L34" s="137" t="s">
        <v>162</v>
      </c>
      <c r="M34" s="129"/>
      <c r="N34" s="129"/>
      <c r="O34" s="130" t="str">
        <f t="shared" si="5"/>
        <v/>
      </c>
      <c r="P34" s="138"/>
      <c r="Q34" s="129" t="s">
        <v>94</v>
      </c>
      <c r="R34" s="129" t="s">
        <v>94</v>
      </c>
      <c r="S34" s="129"/>
      <c r="T34" s="129" t="s">
        <v>96</v>
      </c>
      <c r="U34" s="129" t="s">
        <v>97</v>
      </c>
      <c r="V34" s="129" t="s">
        <v>98</v>
      </c>
      <c r="W34" s="140"/>
      <c r="X34" s="141"/>
      <c r="Y34" s="144" t="s">
        <v>106</v>
      </c>
      <c r="Z34" s="133">
        <v>45617</v>
      </c>
      <c r="AA34" s="133">
        <v>45617</v>
      </c>
      <c r="AB34" s="133">
        <v>45617</v>
      </c>
      <c r="AC34" s="133"/>
      <c r="AD34" s="133"/>
      <c r="AE34" s="137" t="s">
        <v>163</v>
      </c>
      <c r="AF34" s="145" t="s">
        <v>164</v>
      </c>
      <c r="AG34" s="129" t="s">
        <v>94</v>
      </c>
      <c r="AH34" s="129" t="s">
        <v>94</v>
      </c>
      <c r="AI34" s="129"/>
      <c r="AJ34" s="129" t="s">
        <v>109</v>
      </c>
      <c r="AK34" s="146" t="s">
        <v>106</v>
      </c>
      <c r="AL34" s="129" t="s">
        <v>35</v>
      </c>
      <c r="AM34" s="147" t="s">
        <v>490</v>
      </c>
      <c r="AN34" s="147" t="s">
        <v>491</v>
      </c>
      <c r="AO34" s="147" t="s">
        <v>113</v>
      </c>
      <c r="AP34" s="129" t="s">
        <v>114</v>
      </c>
      <c r="AQ34" s="129" t="s">
        <v>239</v>
      </c>
      <c r="AR34" s="140"/>
      <c r="AS34" s="140"/>
      <c r="AT34" s="150"/>
      <c r="AU34" s="144" t="s">
        <v>126</v>
      </c>
      <c r="AV34" s="133">
        <v>45617</v>
      </c>
      <c r="AW34" s="133">
        <v>45621</v>
      </c>
      <c r="AX34" s="140"/>
      <c r="AY34" s="141"/>
      <c r="AZ34" s="156"/>
      <c r="BA34" s="159"/>
      <c r="BB34" s="158" t="s">
        <v>102</v>
      </c>
    </row>
    <row r="35" spans="1:54" ht="168" x14ac:dyDescent="0.15">
      <c r="A35" s="126">
        <f t="shared" si="6"/>
        <v>26</v>
      </c>
      <c r="B35" s="127"/>
      <c r="C35" s="128" t="str">
        <f t="shared" si="8"/>
        <v>検証完了</v>
      </c>
      <c r="D35" s="129" t="s">
        <v>35</v>
      </c>
      <c r="E35" s="130" t="str">
        <f t="shared" si="1"/>
        <v>0026</v>
      </c>
      <c r="F35" s="131" t="str">
        <f t="shared" si="4"/>
        <v>IT-0026</v>
      </c>
      <c r="G35" s="132" t="s">
        <v>103</v>
      </c>
      <c r="H35" s="133">
        <v>45617</v>
      </c>
      <c r="I35" s="133">
        <v>45617</v>
      </c>
      <c r="J35" s="133">
        <v>45617</v>
      </c>
      <c r="K35" s="137" t="s">
        <v>165</v>
      </c>
      <c r="L35" s="137" t="s">
        <v>166</v>
      </c>
      <c r="M35" s="129"/>
      <c r="N35" s="129"/>
      <c r="O35" s="130" t="str">
        <f t="shared" si="5"/>
        <v/>
      </c>
      <c r="P35" s="138"/>
      <c r="Q35" s="129" t="s">
        <v>119</v>
      </c>
      <c r="R35" s="129" t="s">
        <v>119</v>
      </c>
      <c r="S35" s="129"/>
      <c r="T35" s="129" t="s">
        <v>96</v>
      </c>
      <c r="U35" s="129" t="s">
        <v>97</v>
      </c>
      <c r="V35" s="129" t="s">
        <v>98</v>
      </c>
      <c r="W35" s="140"/>
      <c r="X35" s="141"/>
      <c r="Y35" s="144" t="s">
        <v>116</v>
      </c>
      <c r="Z35" s="133">
        <v>45617</v>
      </c>
      <c r="AA35" s="133">
        <v>45617</v>
      </c>
      <c r="AB35" s="133">
        <v>45617</v>
      </c>
      <c r="AC35" s="133"/>
      <c r="AD35" s="133"/>
      <c r="AE35" s="137" t="s">
        <v>167</v>
      </c>
      <c r="AF35" s="145" t="s">
        <v>168</v>
      </c>
      <c r="AG35" s="129" t="s">
        <v>119</v>
      </c>
      <c r="AH35" s="129" t="s">
        <v>472</v>
      </c>
      <c r="AI35" s="129"/>
      <c r="AJ35" s="129" t="s">
        <v>109</v>
      </c>
      <c r="AK35" s="146" t="s">
        <v>116</v>
      </c>
      <c r="AL35" s="129" t="s">
        <v>110</v>
      </c>
      <c r="AM35" s="147" t="s">
        <v>111</v>
      </c>
      <c r="AN35" s="147" t="s">
        <v>112</v>
      </c>
      <c r="AO35" s="147" t="s">
        <v>113</v>
      </c>
      <c r="AP35" s="129" t="s">
        <v>114</v>
      </c>
      <c r="AQ35" s="129" t="s">
        <v>115</v>
      </c>
      <c r="AR35" s="140"/>
      <c r="AS35" s="140"/>
      <c r="AT35" s="150"/>
      <c r="AU35" s="144" t="s">
        <v>103</v>
      </c>
      <c r="AV35" s="133">
        <v>45617</v>
      </c>
      <c r="AW35" s="133">
        <v>45617</v>
      </c>
      <c r="AX35" s="140"/>
      <c r="AY35" s="141"/>
      <c r="AZ35" s="156"/>
      <c r="BA35" s="159"/>
      <c r="BB35" s="158" t="s">
        <v>102</v>
      </c>
    </row>
    <row r="36" spans="1:54" ht="144" x14ac:dyDescent="0.15">
      <c r="A36" s="126">
        <f t="shared" si="6"/>
        <v>27</v>
      </c>
      <c r="B36" s="127"/>
      <c r="C36" s="128" t="str">
        <f t="shared" si="8"/>
        <v>検証完了</v>
      </c>
      <c r="D36" s="129" t="s">
        <v>35</v>
      </c>
      <c r="E36" s="130" t="str">
        <f t="shared" si="1"/>
        <v>0027</v>
      </c>
      <c r="F36" s="131" t="str">
        <f t="shared" si="4"/>
        <v>IT-0027</v>
      </c>
      <c r="G36" s="132" t="s">
        <v>106</v>
      </c>
      <c r="H36" s="133">
        <v>45618</v>
      </c>
      <c r="I36" s="133">
        <v>45618</v>
      </c>
      <c r="J36" s="133">
        <v>45618</v>
      </c>
      <c r="K36" s="137" t="s">
        <v>169</v>
      </c>
      <c r="L36" s="137" t="s">
        <v>170</v>
      </c>
      <c r="M36" s="129"/>
      <c r="N36" s="129"/>
      <c r="O36" s="130" t="str">
        <f t="shared" si="5"/>
        <v/>
      </c>
      <c r="P36" s="138"/>
      <c r="Q36" s="129" t="s">
        <v>94</v>
      </c>
      <c r="R36" s="129" t="s">
        <v>94</v>
      </c>
      <c r="S36" s="129"/>
      <c r="T36" s="129" t="s">
        <v>96</v>
      </c>
      <c r="U36" s="129" t="s">
        <v>97</v>
      </c>
      <c r="V36" s="129" t="s">
        <v>98</v>
      </c>
      <c r="W36" s="140"/>
      <c r="X36" s="141"/>
      <c r="Y36" s="144" t="s">
        <v>106</v>
      </c>
      <c r="Z36" s="133">
        <v>45618</v>
      </c>
      <c r="AA36" s="133">
        <v>45618</v>
      </c>
      <c r="AB36" s="133">
        <v>45618</v>
      </c>
      <c r="AC36" s="133"/>
      <c r="AD36" s="133"/>
      <c r="AE36" s="137" t="s">
        <v>171</v>
      </c>
      <c r="AF36" s="168" t="s">
        <v>172</v>
      </c>
      <c r="AG36" s="129" t="s">
        <v>94</v>
      </c>
      <c r="AH36" s="129" t="s">
        <v>94</v>
      </c>
      <c r="AI36" s="129"/>
      <c r="AJ36" s="129" t="s">
        <v>109</v>
      </c>
      <c r="AK36" s="146" t="s">
        <v>106</v>
      </c>
      <c r="AL36" s="129" t="s">
        <v>35</v>
      </c>
      <c r="AM36" s="147" t="s">
        <v>490</v>
      </c>
      <c r="AN36" s="147" t="s">
        <v>491</v>
      </c>
      <c r="AO36" s="147" t="s">
        <v>113</v>
      </c>
      <c r="AP36" s="129" t="s">
        <v>114</v>
      </c>
      <c r="AQ36" s="129" t="s">
        <v>239</v>
      </c>
      <c r="AR36" s="140"/>
      <c r="AS36" s="140"/>
      <c r="AT36" s="150"/>
      <c r="AU36" s="144" t="s">
        <v>126</v>
      </c>
      <c r="AV36" s="133">
        <v>45618</v>
      </c>
      <c r="AW36" s="133">
        <v>45621</v>
      </c>
      <c r="AX36" s="140"/>
      <c r="AY36" s="141"/>
      <c r="AZ36" s="156"/>
      <c r="BA36" s="159"/>
      <c r="BB36" s="158" t="s">
        <v>102</v>
      </c>
    </row>
    <row r="37" spans="1:54" ht="132" x14ac:dyDescent="0.15">
      <c r="A37" s="126">
        <f t="shared" si="6"/>
        <v>28</v>
      </c>
      <c r="B37" s="127"/>
      <c r="C37" s="128" t="str">
        <f t="shared" si="8"/>
        <v>検証完了</v>
      </c>
      <c r="D37" s="129" t="s">
        <v>35</v>
      </c>
      <c r="E37" s="130" t="str">
        <f t="shared" si="1"/>
        <v>0028</v>
      </c>
      <c r="F37" s="131" t="str">
        <f t="shared" si="4"/>
        <v>IT-0028</v>
      </c>
      <c r="G37" s="132" t="s">
        <v>106</v>
      </c>
      <c r="H37" s="133">
        <v>45618</v>
      </c>
      <c r="I37" s="133">
        <v>45618</v>
      </c>
      <c r="J37" s="133">
        <v>45618</v>
      </c>
      <c r="K37" s="137" t="s">
        <v>173</v>
      </c>
      <c r="L37" s="137" t="s">
        <v>174</v>
      </c>
      <c r="M37" s="129"/>
      <c r="N37" s="129"/>
      <c r="O37" s="130" t="str">
        <f t="shared" si="5"/>
        <v/>
      </c>
      <c r="P37" s="138"/>
      <c r="Q37" s="129" t="s">
        <v>94</v>
      </c>
      <c r="R37" s="129" t="s">
        <v>94</v>
      </c>
      <c r="S37" s="129"/>
      <c r="T37" s="129" t="s">
        <v>96</v>
      </c>
      <c r="U37" s="129" t="s">
        <v>97</v>
      </c>
      <c r="V37" s="129" t="s">
        <v>98</v>
      </c>
      <c r="W37" s="140"/>
      <c r="X37" s="141"/>
      <c r="Y37" s="144" t="s">
        <v>106</v>
      </c>
      <c r="Z37" s="133">
        <v>45618</v>
      </c>
      <c r="AA37" s="133">
        <v>45618</v>
      </c>
      <c r="AB37" s="133">
        <v>45618</v>
      </c>
      <c r="AC37" s="133"/>
      <c r="AD37" s="133"/>
      <c r="AE37" s="169" t="s">
        <v>175</v>
      </c>
      <c r="AF37" s="145" t="s">
        <v>176</v>
      </c>
      <c r="AG37" s="129" t="s">
        <v>94</v>
      </c>
      <c r="AH37" s="129" t="s">
        <v>94</v>
      </c>
      <c r="AI37" s="129"/>
      <c r="AJ37" s="129" t="s">
        <v>109</v>
      </c>
      <c r="AK37" s="146" t="s">
        <v>177</v>
      </c>
      <c r="AL37" s="129" t="s">
        <v>35</v>
      </c>
      <c r="AM37" s="147" t="s">
        <v>178</v>
      </c>
      <c r="AN37" s="147" t="s">
        <v>179</v>
      </c>
      <c r="AO37" s="147" t="s">
        <v>113</v>
      </c>
      <c r="AP37" s="129" t="s">
        <v>180</v>
      </c>
      <c r="AQ37" s="129" t="s">
        <v>181</v>
      </c>
      <c r="AR37" s="140"/>
      <c r="AS37" s="140"/>
      <c r="AT37" s="150"/>
      <c r="AU37" s="144" t="s">
        <v>177</v>
      </c>
      <c r="AV37" s="133">
        <v>45621</v>
      </c>
      <c r="AW37" s="133">
        <v>45622</v>
      </c>
      <c r="AX37" s="140"/>
      <c r="AY37" s="141"/>
      <c r="AZ37" s="156"/>
      <c r="BA37" s="159"/>
      <c r="BB37" s="158" t="s">
        <v>102</v>
      </c>
    </row>
    <row r="38" spans="1:54" ht="81.75" customHeight="1" x14ac:dyDescent="0.15">
      <c r="A38" s="126">
        <f t="shared" si="6"/>
        <v>29</v>
      </c>
      <c r="B38" s="127"/>
      <c r="C38" s="128" t="str">
        <f t="shared" si="8"/>
        <v/>
      </c>
      <c r="D38" s="129"/>
      <c r="E38" s="130" t="str">
        <f t="shared" si="1"/>
        <v>0029</v>
      </c>
      <c r="F38" s="131" t="str">
        <f t="shared" si="4"/>
        <v/>
      </c>
      <c r="G38" s="132"/>
      <c r="H38" s="133"/>
      <c r="I38" s="133"/>
      <c r="J38" s="133"/>
      <c r="K38" s="137"/>
      <c r="L38" s="137" t="s">
        <v>182</v>
      </c>
      <c r="M38" s="129"/>
      <c r="N38" s="129"/>
      <c r="O38" s="130" t="str">
        <f t="shared" si="5"/>
        <v/>
      </c>
      <c r="P38" s="138"/>
      <c r="Q38" s="129"/>
      <c r="R38" s="129"/>
      <c r="S38" s="129"/>
      <c r="T38" s="129"/>
      <c r="U38" s="129"/>
      <c r="V38" s="129"/>
      <c r="W38" s="140"/>
      <c r="X38" s="141"/>
      <c r="Y38" s="144"/>
      <c r="Z38" s="133"/>
      <c r="AA38" s="133"/>
      <c r="AB38" s="133"/>
      <c r="AC38" s="133"/>
      <c r="AD38" s="133"/>
      <c r="AE38" s="137" t="s">
        <v>183</v>
      </c>
      <c r="AF38" s="145"/>
      <c r="AG38" s="129"/>
      <c r="AH38" s="129"/>
      <c r="AI38" s="129"/>
      <c r="AJ38" s="129"/>
      <c r="AK38" s="146"/>
      <c r="AL38" s="129"/>
      <c r="AM38" s="147"/>
      <c r="AN38" s="147"/>
      <c r="AO38" s="147" t="s">
        <v>113</v>
      </c>
      <c r="AP38" s="129"/>
      <c r="AQ38" s="129"/>
      <c r="AR38" s="140"/>
      <c r="AS38" s="140"/>
      <c r="AT38" s="150"/>
      <c r="AU38" s="144"/>
      <c r="AV38" s="133"/>
      <c r="AW38" s="133"/>
      <c r="AX38" s="140"/>
      <c r="AY38" s="141"/>
      <c r="AZ38" s="156"/>
      <c r="BA38" s="159"/>
      <c r="BB38" s="158" t="s">
        <v>102</v>
      </c>
    </row>
    <row r="39" spans="1:54" ht="81.75" customHeight="1" x14ac:dyDescent="0.15">
      <c r="A39" s="126">
        <f t="shared" si="6"/>
        <v>30</v>
      </c>
      <c r="B39" s="127"/>
      <c r="C39" s="128" t="str">
        <f t="shared" si="8"/>
        <v/>
      </c>
      <c r="D39" s="129"/>
      <c r="E39" s="130" t="str">
        <f t="shared" si="1"/>
        <v>0030</v>
      </c>
      <c r="F39" s="131" t="str">
        <f t="shared" si="4"/>
        <v/>
      </c>
      <c r="G39" s="132"/>
      <c r="H39" s="133"/>
      <c r="I39" s="133"/>
      <c r="J39" s="133"/>
      <c r="K39" s="137"/>
      <c r="L39" s="137" t="s">
        <v>182</v>
      </c>
      <c r="M39" s="129"/>
      <c r="N39" s="129"/>
      <c r="O39" s="130" t="str">
        <f t="shared" si="5"/>
        <v/>
      </c>
      <c r="P39" s="138"/>
      <c r="Q39" s="129"/>
      <c r="R39" s="129"/>
      <c r="S39" s="129"/>
      <c r="T39" s="129"/>
      <c r="U39" s="129"/>
      <c r="V39" s="129"/>
      <c r="W39" s="140"/>
      <c r="X39" s="141"/>
      <c r="Y39" s="144"/>
      <c r="Z39" s="133"/>
      <c r="AA39" s="133"/>
      <c r="AB39" s="133"/>
      <c r="AC39" s="133"/>
      <c r="AD39" s="133"/>
      <c r="AE39" s="137" t="s">
        <v>183</v>
      </c>
      <c r="AF39" s="145"/>
      <c r="AG39" s="129"/>
      <c r="AH39" s="129"/>
      <c r="AI39" s="129"/>
      <c r="AJ39" s="129"/>
      <c r="AK39" s="146"/>
      <c r="AL39" s="129"/>
      <c r="AM39" s="147"/>
      <c r="AN39" s="147"/>
      <c r="AO39" s="147"/>
      <c r="AP39" s="129"/>
      <c r="AQ39" s="129"/>
      <c r="AR39" s="140"/>
      <c r="AS39" s="140"/>
      <c r="AT39" s="150"/>
      <c r="AU39" s="144"/>
      <c r="AV39" s="133"/>
      <c r="AW39" s="133"/>
      <c r="AX39" s="140"/>
      <c r="AY39" s="141"/>
      <c r="AZ39" s="156"/>
      <c r="BA39" s="159"/>
      <c r="BB39" s="158" t="s">
        <v>102</v>
      </c>
    </row>
    <row r="40" spans="1:54" ht="81.75" customHeight="1" x14ac:dyDescent="0.15">
      <c r="A40" s="126">
        <f t="shared" si="6"/>
        <v>31</v>
      </c>
      <c r="B40" s="127"/>
      <c r="C40" s="128" t="str">
        <f t="shared" si="8"/>
        <v/>
      </c>
      <c r="D40" s="129"/>
      <c r="E40" s="130" t="str">
        <f t="shared" si="1"/>
        <v>0031</v>
      </c>
      <c r="F40" s="131" t="str">
        <f t="shared" si="4"/>
        <v/>
      </c>
      <c r="G40" s="132"/>
      <c r="H40" s="133"/>
      <c r="I40" s="133"/>
      <c r="J40" s="133"/>
      <c r="K40" s="137"/>
      <c r="L40" s="137" t="s">
        <v>182</v>
      </c>
      <c r="M40" s="129"/>
      <c r="N40" s="129"/>
      <c r="O40" s="130" t="str">
        <f t="shared" si="5"/>
        <v/>
      </c>
      <c r="P40" s="138"/>
      <c r="Q40" s="129"/>
      <c r="R40" s="129"/>
      <c r="S40" s="129"/>
      <c r="T40" s="129"/>
      <c r="U40" s="129"/>
      <c r="V40" s="129"/>
      <c r="W40" s="140"/>
      <c r="X40" s="141"/>
      <c r="Y40" s="144"/>
      <c r="Z40" s="133"/>
      <c r="AA40" s="133"/>
      <c r="AB40" s="133"/>
      <c r="AC40" s="133"/>
      <c r="AD40" s="133"/>
      <c r="AE40" s="137" t="s">
        <v>183</v>
      </c>
      <c r="AF40" s="145"/>
      <c r="AG40" s="129"/>
      <c r="AH40" s="129"/>
      <c r="AI40" s="129"/>
      <c r="AJ40" s="129"/>
      <c r="AK40" s="146"/>
      <c r="AL40" s="129"/>
      <c r="AM40" s="147"/>
      <c r="AN40" s="147"/>
      <c r="AO40" s="147" t="s">
        <v>113</v>
      </c>
      <c r="AP40" s="129"/>
      <c r="AQ40" s="129"/>
      <c r="AR40" s="140"/>
      <c r="AS40" s="140"/>
      <c r="AT40" s="150"/>
      <c r="AU40" s="144"/>
      <c r="AV40" s="133"/>
      <c r="AW40" s="133"/>
      <c r="AX40" s="140"/>
      <c r="AY40" s="141"/>
      <c r="AZ40" s="156"/>
      <c r="BA40" s="159"/>
      <c r="BB40" s="158" t="s">
        <v>102</v>
      </c>
    </row>
    <row r="41" spans="1:54" ht="81.75" customHeight="1" x14ac:dyDescent="0.15">
      <c r="A41" s="126">
        <f t="shared" si="6"/>
        <v>32</v>
      </c>
      <c r="B41" s="127"/>
      <c r="C41" s="128" t="str">
        <f t="shared" si="8"/>
        <v/>
      </c>
      <c r="D41" s="129"/>
      <c r="E41" s="130" t="str">
        <f t="shared" si="1"/>
        <v>0032</v>
      </c>
      <c r="F41" s="131" t="str">
        <f t="shared" si="4"/>
        <v/>
      </c>
      <c r="G41" s="132"/>
      <c r="H41" s="133"/>
      <c r="I41" s="133"/>
      <c r="J41" s="133"/>
      <c r="K41" s="137"/>
      <c r="L41" s="137" t="s">
        <v>182</v>
      </c>
      <c r="M41" s="129"/>
      <c r="N41" s="129"/>
      <c r="O41" s="130" t="str">
        <f t="shared" si="5"/>
        <v/>
      </c>
      <c r="P41" s="138"/>
      <c r="Q41" s="129"/>
      <c r="R41" s="129"/>
      <c r="S41" s="129"/>
      <c r="T41" s="129"/>
      <c r="U41" s="129"/>
      <c r="V41" s="129"/>
      <c r="W41" s="140"/>
      <c r="X41" s="141"/>
      <c r="Y41" s="144"/>
      <c r="Z41" s="133"/>
      <c r="AA41" s="133"/>
      <c r="AB41" s="133"/>
      <c r="AC41" s="133"/>
      <c r="AD41" s="133"/>
      <c r="AE41" s="137" t="s">
        <v>183</v>
      </c>
      <c r="AF41" s="145"/>
      <c r="AG41" s="129"/>
      <c r="AH41" s="129"/>
      <c r="AI41" s="129"/>
      <c r="AJ41" s="129"/>
      <c r="AK41" s="146"/>
      <c r="AL41" s="129"/>
      <c r="AM41" s="147"/>
      <c r="AN41" s="147"/>
      <c r="AO41" s="147"/>
      <c r="AP41" s="129"/>
      <c r="AQ41" s="129"/>
      <c r="AR41" s="140"/>
      <c r="AS41" s="140"/>
      <c r="AT41" s="150"/>
      <c r="AU41" s="144"/>
      <c r="AV41" s="133"/>
      <c r="AW41" s="133"/>
      <c r="AX41" s="140"/>
      <c r="AY41" s="141"/>
      <c r="AZ41" s="156"/>
      <c r="BA41" s="159"/>
      <c r="BB41" s="158" t="s">
        <v>102</v>
      </c>
    </row>
    <row r="42" spans="1:54" ht="81.75" customHeight="1" x14ac:dyDescent="0.15">
      <c r="A42" s="126">
        <f t="shared" si="6"/>
        <v>33</v>
      </c>
      <c r="B42" s="127"/>
      <c r="C42" s="128" t="str">
        <f t="shared" si="8"/>
        <v/>
      </c>
      <c r="D42" s="129"/>
      <c r="E42" s="130" t="str">
        <f t="shared" si="1"/>
        <v>0033</v>
      </c>
      <c r="F42" s="131" t="str">
        <f t="shared" si="4"/>
        <v/>
      </c>
      <c r="G42" s="132"/>
      <c r="H42" s="133"/>
      <c r="I42" s="133"/>
      <c r="J42" s="133"/>
      <c r="K42" s="137"/>
      <c r="L42" s="137" t="s">
        <v>182</v>
      </c>
      <c r="M42" s="129"/>
      <c r="N42" s="129"/>
      <c r="O42" s="130" t="str">
        <f t="shared" si="5"/>
        <v/>
      </c>
      <c r="P42" s="138"/>
      <c r="Q42" s="129"/>
      <c r="R42" s="129"/>
      <c r="S42" s="129"/>
      <c r="T42" s="129"/>
      <c r="U42" s="129"/>
      <c r="V42" s="129"/>
      <c r="W42" s="140"/>
      <c r="X42" s="141"/>
      <c r="Y42" s="144"/>
      <c r="Z42" s="133"/>
      <c r="AA42" s="133"/>
      <c r="AB42" s="133"/>
      <c r="AC42" s="133"/>
      <c r="AD42" s="133"/>
      <c r="AE42" s="137" t="s">
        <v>183</v>
      </c>
      <c r="AF42" s="145"/>
      <c r="AG42" s="129"/>
      <c r="AH42" s="129"/>
      <c r="AI42" s="129"/>
      <c r="AJ42" s="129"/>
      <c r="AK42" s="146"/>
      <c r="AL42" s="129"/>
      <c r="AM42" s="147"/>
      <c r="AN42" s="147"/>
      <c r="AO42" s="147" t="s">
        <v>113</v>
      </c>
      <c r="AP42" s="129"/>
      <c r="AQ42" s="129"/>
      <c r="AR42" s="140"/>
      <c r="AS42" s="140"/>
      <c r="AT42" s="150"/>
      <c r="AU42" s="144"/>
      <c r="AV42" s="133"/>
      <c r="AW42" s="133"/>
      <c r="AX42" s="140"/>
      <c r="AY42" s="141"/>
      <c r="AZ42" s="156"/>
      <c r="BA42" s="159"/>
      <c r="BB42" s="158" t="s">
        <v>102</v>
      </c>
    </row>
    <row r="43" spans="1:54" ht="81.75" customHeight="1" x14ac:dyDescent="0.15">
      <c r="A43" s="126">
        <f t="shared" si="6"/>
        <v>34</v>
      </c>
      <c r="B43" s="127"/>
      <c r="C43" s="128" t="str">
        <f t="shared" si="8"/>
        <v/>
      </c>
      <c r="D43" s="129"/>
      <c r="E43" s="130" t="str">
        <f t="shared" si="1"/>
        <v>0034</v>
      </c>
      <c r="F43" s="131" t="str">
        <f t="shared" si="4"/>
        <v/>
      </c>
      <c r="G43" s="132"/>
      <c r="H43" s="133"/>
      <c r="I43" s="133"/>
      <c r="J43" s="133"/>
      <c r="K43" s="137"/>
      <c r="L43" s="137" t="s">
        <v>182</v>
      </c>
      <c r="M43" s="129"/>
      <c r="N43" s="129"/>
      <c r="O43" s="130" t="str">
        <f t="shared" si="5"/>
        <v/>
      </c>
      <c r="P43" s="138"/>
      <c r="Q43" s="129"/>
      <c r="R43" s="129"/>
      <c r="S43" s="129"/>
      <c r="T43" s="129"/>
      <c r="U43" s="129"/>
      <c r="V43" s="129"/>
      <c r="W43" s="140"/>
      <c r="X43" s="141"/>
      <c r="Y43" s="144"/>
      <c r="Z43" s="133"/>
      <c r="AA43" s="133"/>
      <c r="AB43" s="133"/>
      <c r="AC43" s="133"/>
      <c r="AD43" s="133"/>
      <c r="AE43" s="137" t="s">
        <v>183</v>
      </c>
      <c r="AF43" s="145"/>
      <c r="AG43" s="129"/>
      <c r="AH43" s="129"/>
      <c r="AI43" s="129"/>
      <c r="AJ43" s="129"/>
      <c r="AK43" s="146"/>
      <c r="AL43" s="129"/>
      <c r="AM43" s="147"/>
      <c r="AN43" s="147"/>
      <c r="AO43" s="147"/>
      <c r="AP43" s="129"/>
      <c r="AQ43" s="129"/>
      <c r="AR43" s="140"/>
      <c r="AS43" s="140"/>
      <c r="AT43" s="150"/>
      <c r="AU43" s="144"/>
      <c r="AV43" s="133"/>
      <c r="AW43" s="133"/>
      <c r="AX43" s="140"/>
      <c r="AY43" s="141"/>
      <c r="AZ43" s="156"/>
      <c r="BA43" s="159"/>
      <c r="BB43" s="158" t="s">
        <v>102</v>
      </c>
    </row>
    <row r="44" spans="1:54" ht="81.75" customHeight="1" x14ac:dyDescent="0.15">
      <c r="A44" s="126">
        <f t="shared" si="6"/>
        <v>35</v>
      </c>
      <c r="B44" s="127"/>
      <c r="C44" s="128" t="str">
        <f t="shared" si="8"/>
        <v/>
      </c>
      <c r="D44" s="129"/>
      <c r="E44" s="130" t="str">
        <f t="shared" si="1"/>
        <v>0035</v>
      </c>
      <c r="F44" s="131" t="str">
        <f t="shared" si="4"/>
        <v/>
      </c>
      <c r="G44" s="132"/>
      <c r="H44" s="133"/>
      <c r="I44" s="133"/>
      <c r="J44" s="133"/>
      <c r="K44" s="137"/>
      <c r="L44" s="137" t="s">
        <v>182</v>
      </c>
      <c r="M44" s="129"/>
      <c r="N44" s="129"/>
      <c r="O44" s="130" t="str">
        <f t="shared" si="5"/>
        <v/>
      </c>
      <c r="P44" s="138"/>
      <c r="Q44" s="129"/>
      <c r="R44" s="129"/>
      <c r="S44" s="129"/>
      <c r="T44" s="129"/>
      <c r="U44" s="129"/>
      <c r="V44" s="129"/>
      <c r="W44" s="140"/>
      <c r="X44" s="141"/>
      <c r="Y44" s="144"/>
      <c r="Z44" s="133"/>
      <c r="AA44" s="133"/>
      <c r="AB44" s="133"/>
      <c r="AC44" s="133"/>
      <c r="AD44" s="133"/>
      <c r="AE44" s="137" t="s">
        <v>183</v>
      </c>
      <c r="AF44" s="145"/>
      <c r="AG44" s="129"/>
      <c r="AH44" s="129"/>
      <c r="AI44" s="129"/>
      <c r="AJ44" s="129"/>
      <c r="AK44" s="146"/>
      <c r="AL44" s="129"/>
      <c r="AM44" s="147"/>
      <c r="AN44" s="147"/>
      <c r="AO44" s="147" t="s">
        <v>113</v>
      </c>
      <c r="AP44" s="129"/>
      <c r="AQ44" s="129"/>
      <c r="AR44" s="140"/>
      <c r="AS44" s="140"/>
      <c r="AT44" s="150"/>
      <c r="AU44" s="144"/>
      <c r="AV44" s="133"/>
      <c r="AW44" s="133"/>
      <c r="AX44" s="140"/>
      <c r="AY44" s="141"/>
      <c r="AZ44" s="156"/>
      <c r="BA44" s="159"/>
      <c r="BB44" s="158" t="s">
        <v>102</v>
      </c>
    </row>
    <row r="45" spans="1:54" ht="81.75" customHeight="1" x14ac:dyDescent="0.15">
      <c r="A45" s="126">
        <f t="shared" si="6"/>
        <v>36</v>
      </c>
      <c r="B45" s="127"/>
      <c r="C45" s="128" t="str">
        <f t="shared" si="8"/>
        <v/>
      </c>
      <c r="D45" s="129"/>
      <c r="E45" s="130" t="str">
        <f t="shared" si="1"/>
        <v>0036</v>
      </c>
      <c r="F45" s="131" t="str">
        <f t="shared" si="4"/>
        <v/>
      </c>
      <c r="G45" s="132"/>
      <c r="H45" s="133"/>
      <c r="I45" s="133"/>
      <c r="J45" s="133"/>
      <c r="K45" s="137"/>
      <c r="L45" s="137" t="s">
        <v>182</v>
      </c>
      <c r="M45" s="129"/>
      <c r="N45" s="129"/>
      <c r="O45" s="130" t="str">
        <f t="shared" si="5"/>
        <v/>
      </c>
      <c r="P45" s="138"/>
      <c r="Q45" s="129"/>
      <c r="R45" s="129"/>
      <c r="S45" s="129"/>
      <c r="T45" s="129"/>
      <c r="U45" s="129"/>
      <c r="V45" s="129"/>
      <c r="W45" s="140"/>
      <c r="X45" s="141"/>
      <c r="Y45" s="144"/>
      <c r="Z45" s="133"/>
      <c r="AA45" s="133"/>
      <c r="AB45" s="133"/>
      <c r="AC45" s="133"/>
      <c r="AD45" s="133"/>
      <c r="AE45" s="137" t="s">
        <v>183</v>
      </c>
      <c r="AF45" s="145"/>
      <c r="AG45" s="129"/>
      <c r="AH45" s="129"/>
      <c r="AI45" s="129"/>
      <c r="AJ45" s="129"/>
      <c r="AK45" s="146"/>
      <c r="AL45" s="129"/>
      <c r="AM45" s="147"/>
      <c r="AN45" s="147"/>
      <c r="AO45" s="147"/>
      <c r="AP45" s="129"/>
      <c r="AQ45" s="129"/>
      <c r="AR45" s="140"/>
      <c r="AS45" s="140"/>
      <c r="AT45" s="150"/>
      <c r="AU45" s="144"/>
      <c r="AV45" s="133"/>
      <c r="AW45" s="133"/>
      <c r="AX45" s="140"/>
      <c r="AY45" s="141"/>
      <c r="AZ45" s="156"/>
      <c r="BA45" s="159"/>
      <c r="BB45" s="158" t="s">
        <v>102</v>
      </c>
    </row>
    <row r="46" spans="1:54" ht="81.75" customHeight="1" x14ac:dyDescent="0.15">
      <c r="A46" s="126">
        <f t="shared" si="6"/>
        <v>37</v>
      </c>
      <c r="B46" s="127"/>
      <c r="C46" s="128" t="str">
        <f t="shared" ref="C46:C55" si="9">IF(AND(H46&lt;&gt;"",AW46&lt;&gt;""),"検証完了",IF(AND(H46&lt;&gt;"",AB46&lt;&gt;""),"修正完了",IF(AND(H46&lt;&gt;"",Z46&lt;&gt;""),"対応中",IF(H46&lt;&gt;"","未着手",""))))</f>
        <v/>
      </c>
      <c r="D46" s="129"/>
      <c r="E46" s="130" t="str">
        <f t="shared" ref="E46:E55" si="10">TEXT(A46,"0000")</f>
        <v>0037</v>
      </c>
      <c r="F46" s="131" t="str">
        <f t="shared" ref="F46:F55" si="11">IF(D46="","",CONCATENATE(D46,"-",E46))</f>
        <v/>
      </c>
      <c r="G46" s="132"/>
      <c r="H46" s="133"/>
      <c r="I46" s="133"/>
      <c r="J46" s="133"/>
      <c r="K46" s="137"/>
      <c r="L46" s="137" t="s">
        <v>182</v>
      </c>
      <c r="M46" s="129"/>
      <c r="N46" s="129"/>
      <c r="O46" s="130" t="str">
        <f t="shared" ref="O46:O55" si="12">IF(AND(M46&lt;&gt;"",N46&lt;&gt;""),CONCATENATE(M46,"-",N46),"")</f>
        <v/>
      </c>
      <c r="P46" s="138"/>
      <c r="Q46" s="129"/>
      <c r="R46" s="129"/>
      <c r="S46" s="129"/>
      <c r="T46" s="129"/>
      <c r="U46" s="129"/>
      <c r="V46" s="129"/>
      <c r="W46" s="140"/>
      <c r="X46" s="141"/>
      <c r="Y46" s="144"/>
      <c r="Z46" s="133"/>
      <c r="AA46" s="133"/>
      <c r="AB46" s="133"/>
      <c r="AC46" s="133"/>
      <c r="AD46" s="133"/>
      <c r="AE46" s="137" t="s">
        <v>183</v>
      </c>
      <c r="AF46" s="145"/>
      <c r="AG46" s="129"/>
      <c r="AH46" s="129"/>
      <c r="AI46" s="129"/>
      <c r="AJ46" s="129"/>
      <c r="AK46" s="146"/>
      <c r="AL46" s="129"/>
      <c r="AM46" s="147"/>
      <c r="AN46" s="147"/>
      <c r="AO46" s="147" t="s">
        <v>113</v>
      </c>
      <c r="AP46" s="129"/>
      <c r="AQ46" s="129"/>
      <c r="AR46" s="140"/>
      <c r="AS46" s="140"/>
      <c r="AT46" s="150"/>
      <c r="AU46" s="144"/>
      <c r="AV46" s="133"/>
      <c r="AW46" s="133"/>
      <c r="AX46" s="140"/>
      <c r="AY46" s="141"/>
      <c r="AZ46" s="156"/>
      <c r="BA46" s="159"/>
      <c r="BB46" s="158" t="s">
        <v>102</v>
      </c>
    </row>
    <row r="47" spans="1:54" ht="81.75" customHeight="1" x14ac:dyDescent="0.15">
      <c r="A47" s="126">
        <f t="shared" si="6"/>
        <v>38</v>
      </c>
      <c r="B47" s="127"/>
      <c r="C47" s="128" t="str">
        <f t="shared" si="9"/>
        <v/>
      </c>
      <c r="D47" s="129"/>
      <c r="E47" s="130" t="str">
        <f t="shared" si="10"/>
        <v>0038</v>
      </c>
      <c r="F47" s="131" t="str">
        <f t="shared" si="11"/>
        <v/>
      </c>
      <c r="G47" s="132"/>
      <c r="H47" s="133"/>
      <c r="I47" s="133"/>
      <c r="J47" s="133"/>
      <c r="K47" s="137"/>
      <c r="L47" s="137" t="s">
        <v>182</v>
      </c>
      <c r="M47" s="129"/>
      <c r="N47" s="129"/>
      <c r="O47" s="130" t="str">
        <f t="shared" si="12"/>
        <v/>
      </c>
      <c r="P47" s="138"/>
      <c r="Q47" s="129"/>
      <c r="R47" s="129"/>
      <c r="S47" s="129"/>
      <c r="T47" s="129"/>
      <c r="U47" s="129"/>
      <c r="V47" s="129"/>
      <c r="W47" s="140"/>
      <c r="X47" s="141"/>
      <c r="Y47" s="144"/>
      <c r="Z47" s="133"/>
      <c r="AA47" s="133"/>
      <c r="AB47" s="133"/>
      <c r="AC47" s="133"/>
      <c r="AD47" s="133"/>
      <c r="AE47" s="137" t="s">
        <v>183</v>
      </c>
      <c r="AF47" s="145"/>
      <c r="AG47" s="129"/>
      <c r="AH47" s="129"/>
      <c r="AI47" s="129"/>
      <c r="AJ47" s="129"/>
      <c r="AK47" s="146"/>
      <c r="AL47" s="129"/>
      <c r="AM47" s="147"/>
      <c r="AN47" s="147"/>
      <c r="AO47" s="147"/>
      <c r="AP47" s="129"/>
      <c r="AQ47" s="129"/>
      <c r="AR47" s="140"/>
      <c r="AS47" s="140"/>
      <c r="AT47" s="150"/>
      <c r="AU47" s="144"/>
      <c r="AV47" s="133"/>
      <c r="AW47" s="133"/>
      <c r="AX47" s="140"/>
      <c r="AY47" s="141"/>
      <c r="AZ47" s="156"/>
      <c r="BA47" s="159"/>
      <c r="BB47" s="158" t="s">
        <v>102</v>
      </c>
    </row>
    <row r="48" spans="1:54" ht="81.75" customHeight="1" x14ac:dyDescent="0.15">
      <c r="A48" s="126">
        <f t="shared" si="6"/>
        <v>39</v>
      </c>
      <c r="B48" s="127"/>
      <c r="C48" s="128" t="str">
        <f t="shared" si="9"/>
        <v/>
      </c>
      <c r="D48" s="129"/>
      <c r="E48" s="130" t="str">
        <f t="shared" si="10"/>
        <v>0039</v>
      </c>
      <c r="F48" s="131" t="str">
        <f t="shared" si="11"/>
        <v/>
      </c>
      <c r="G48" s="132"/>
      <c r="H48" s="133"/>
      <c r="I48" s="133"/>
      <c r="J48" s="133"/>
      <c r="K48" s="137"/>
      <c r="L48" s="137" t="s">
        <v>182</v>
      </c>
      <c r="M48" s="129"/>
      <c r="N48" s="129"/>
      <c r="O48" s="130" t="str">
        <f t="shared" si="12"/>
        <v/>
      </c>
      <c r="P48" s="138"/>
      <c r="Q48" s="129"/>
      <c r="R48" s="129"/>
      <c r="S48" s="129"/>
      <c r="T48" s="129"/>
      <c r="U48" s="129"/>
      <c r="V48" s="129"/>
      <c r="W48" s="140"/>
      <c r="X48" s="141"/>
      <c r="Y48" s="144"/>
      <c r="Z48" s="133"/>
      <c r="AA48" s="133"/>
      <c r="AB48" s="133"/>
      <c r="AC48" s="133"/>
      <c r="AD48" s="133"/>
      <c r="AE48" s="137" t="s">
        <v>183</v>
      </c>
      <c r="AF48" s="145"/>
      <c r="AG48" s="129"/>
      <c r="AH48" s="129"/>
      <c r="AI48" s="129"/>
      <c r="AJ48" s="129"/>
      <c r="AK48" s="146"/>
      <c r="AL48" s="129"/>
      <c r="AM48" s="147"/>
      <c r="AN48" s="147"/>
      <c r="AO48" s="147" t="s">
        <v>113</v>
      </c>
      <c r="AP48" s="129"/>
      <c r="AQ48" s="129"/>
      <c r="AR48" s="140"/>
      <c r="AS48" s="140"/>
      <c r="AT48" s="150"/>
      <c r="AU48" s="144"/>
      <c r="AV48" s="133"/>
      <c r="AW48" s="133"/>
      <c r="AX48" s="140"/>
      <c r="AY48" s="141"/>
      <c r="AZ48" s="156"/>
      <c r="BA48" s="159"/>
      <c r="BB48" s="158" t="s">
        <v>102</v>
      </c>
    </row>
    <row r="49" spans="1:54" ht="81.75" customHeight="1" x14ac:dyDescent="0.15">
      <c r="A49" s="126">
        <f t="shared" si="6"/>
        <v>40</v>
      </c>
      <c r="B49" s="127"/>
      <c r="C49" s="128" t="str">
        <f t="shared" si="9"/>
        <v/>
      </c>
      <c r="D49" s="129"/>
      <c r="E49" s="130" t="str">
        <f t="shared" si="10"/>
        <v>0040</v>
      </c>
      <c r="F49" s="131" t="str">
        <f t="shared" si="11"/>
        <v/>
      </c>
      <c r="G49" s="132"/>
      <c r="H49" s="133"/>
      <c r="I49" s="133"/>
      <c r="J49" s="133"/>
      <c r="K49" s="137"/>
      <c r="L49" s="137" t="s">
        <v>182</v>
      </c>
      <c r="M49" s="129"/>
      <c r="N49" s="129"/>
      <c r="O49" s="130" t="str">
        <f t="shared" si="12"/>
        <v/>
      </c>
      <c r="P49" s="138"/>
      <c r="Q49" s="129"/>
      <c r="R49" s="129"/>
      <c r="S49" s="129"/>
      <c r="T49" s="129"/>
      <c r="U49" s="129"/>
      <c r="V49" s="129"/>
      <c r="W49" s="140"/>
      <c r="X49" s="141"/>
      <c r="Y49" s="144"/>
      <c r="Z49" s="133"/>
      <c r="AA49" s="133"/>
      <c r="AB49" s="133"/>
      <c r="AC49" s="133"/>
      <c r="AD49" s="133"/>
      <c r="AE49" s="137" t="s">
        <v>183</v>
      </c>
      <c r="AF49" s="145"/>
      <c r="AG49" s="129"/>
      <c r="AH49" s="129"/>
      <c r="AI49" s="129"/>
      <c r="AJ49" s="129"/>
      <c r="AK49" s="146"/>
      <c r="AL49" s="129"/>
      <c r="AM49" s="147"/>
      <c r="AN49" s="147"/>
      <c r="AO49" s="147"/>
      <c r="AP49" s="129"/>
      <c r="AQ49" s="129"/>
      <c r="AR49" s="140"/>
      <c r="AS49" s="140"/>
      <c r="AT49" s="150"/>
      <c r="AU49" s="144"/>
      <c r="AV49" s="133"/>
      <c r="AW49" s="133"/>
      <c r="AX49" s="140"/>
      <c r="AY49" s="141"/>
      <c r="AZ49" s="156"/>
      <c r="BA49" s="159"/>
      <c r="BB49" s="158" t="s">
        <v>102</v>
      </c>
    </row>
    <row r="50" spans="1:54" ht="81.75" customHeight="1" x14ac:dyDescent="0.15">
      <c r="A50" s="126">
        <f t="shared" si="6"/>
        <v>41</v>
      </c>
      <c r="B50" s="127"/>
      <c r="C50" s="128" t="str">
        <f t="shared" si="9"/>
        <v/>
      </c>
      <c r="D50" s="129"/>
      <c r="E50" s="130" t="str">
        <f t="shared" si="10"/>
        <v>0041</v>
      </c>
      <c r="F50" s="131" t="str">
        <f t="shared" si="11"/>
        <v/>
      </c>
      <c r="G50" s="132"/>
      <c r="H50" s="133"/>
      <c r="I50" s="133"/>
      <c r="J50" s="133"/>
      <c r="K50" s="137"/>
      <c r="L50" s="137" t="s">
        <v>182</v>
      </c>
      <c r="M50" s="129"/>
      <c r="N50" s="129"/>
      <c r="O50" s="130" t="str">
        <f t="shared" si="12"/>
        <v/>
      </c>
      <c r="P50" s="138"/>
      <c r="Q50" s="129"/>
      <c r="R50" s="129"/>
      <c r="S50" s="129"/>
      <c r="T50" s="129"/>
      <c r="U50" s="129"/>
      <c r="V50" s="129"/>
      <c r="W50" s="140"/>
      <c r="X50" s="141"/>
      <c r="Y50" s="144"/>
      <c r="Z50" s="133"/>
      <c r="AA50" s="133"/>
      <c r="AB50" s="133"/>
      <c r="AC50" s="133"/>
      <c r="AD50" s="133"/>
      <c r="AE50" s="137" t="s">
        <v>183</v>
      </c>
      <c r="AF50" s="145"/>
      <c r="AG50" s="129"/>
      <c r="AH50" s="129"/>
      <c r="AI50" s="129"/>
      <c r="AJ50" s="129"/>
      <c r="AK50" s="146"/>
      <c r="AL50" s="129"/>
      <c r="AM50" s="147"/>
      <c r="AN50" s="147"/>
      <c r="AO50" s="147" t="s">
        <v>113</v>
      </c>
      <c r="AP50" s="129"/>
      <c r="AQ50" s="129"/>
      <c r="AR50" s="140"/>
      <c r="AS50" s="140"/>
      <c r="AT50" s="150"/>
      <c r="AU50" s="144"/>
      <c r="AV50" s="133"/>
      <c r="AW50" s="133"/>
      <c r="AX50" s="140"/>
      <c r="AY50" s="141"/>
      <c r="AZ50" s="156"/>
      <c r="BA50" s="159"/>
      <c r="BB50" s="158" t="s">
        <v>102</v>
      </c>
    </row>
    <row r="51" spans="1:54" ht="81.75" customHeight="1" x14ac:dyDescent="0.15">
      <c r="A51" s="126">
        <f t="shared" si="6"/>
        <v>42</v>
      </c>
      <c r="B51" s="127"/>
      <c r="C51" s="128" t="str">
        <f t="shared" si="9"/>
        <v/>
      </c>
      <c r="D51" s="129"/>
      <c r="E51" s="130" t="str">
        <f t="shared" si="10"/>
        <v>0042</v>
      </c>
      <c r="F51" s="131" t="str">
        <f t="shared" si="11"/>
        <v/>
      </c>
      <c r="G51" s="132"/>
      <c r="H51" s="133"/>
      <c r="I51" s="133"/>
      <c r="J51" s="133"/>
      <c r="K51" s="137"/>
      <c r="L51" s="137" t="s">
        <v>182</v>
      </c>
      <c r="M51" s="129"/>
      <c r="N51" s="129"/>
      <c r="O51" s="130" t="str">
        <f t="shared" si="12"/>
        <v/>
      </c>
      <c r="P51" s="138"/>
      <c r="Q51" s="129"/>
      <c r="R51" s="129"/>
      <c r="S51" s="129"/>
      <c r="T51" s="129"/>
      <c r="U51" s="129"/>
      <c r="V51" s="129"/>
      <c r="W51" s="140"/>
      <c r="X51" s="141"/>
      <c r="Y51" s="144"/>
      <c r="Z51" s="133"/>
      <c r="AA51" s="133"/>
      <c r="AB51" s="133"/>
      <c r="AC51" s="133"/>
      <c r="AD51" s="133"/>
      <c r="AE51" s="137" t="s">
        <v>183</v>
      </c>
      <c r="AF51" s="145"/>
      <c r="AG51" s="129"/>
      <c r="AH51" s="129"/>
      <c r="AI51" s="129"/>
      <c r="AJ51" s="129"/>
      <c r="AK51" s="146"/>
      <c r="AL51" s="129"/>
      <c r="AM51" s="147"/>
      <c r="AN51" s="147"/>
      <c r="AO51" s="147"/>
      <c r="AP51" s="129"/>
      <c r="AQ51" s="129"/>
      <c r="AR51" s="140"/>
      <c r="AS51" s="140"/>
      <c r="AT51" s="150"/>
      <c r="AU51" s="144"/>
      <c r="AV51" s="133"/>
      <c r="AW51" s="133"/>
      <c r="AX51" s="140"/>
      <c r="AY51" s="141"/>
      <c r="AZ51" s="156"/>
      <c r="BA51" s="159"/>
      <c r="BB51" s="158" t="s">
        <v>102</v>
      </c>
    </row>
    <row r="52" spans="1:54" ht="81.75" customHeight="1" x14ac:dyDescent="0.15">
      <c r="A52" s="126">
        <f t="shared" si="6"/>
        <v>43</v>
      </c>
      <c r="B52" s="127"/>
      <c r="C52" s="128" t="str">
        <f t="shared" si="9"/>
        <v/>
      </c>
      <c r="D52" s="129"/>
      <c r="E52" s="130" t="str">
        <f t="shared" si="10"/>
        <v>0043</v>
      </c>
      <c r="F52" s="131" t="str">
        <f t="shared" si="11"/>
        <v/>
      </c>
      <c r="G52" s="132"/>
      <c r="H52" s="133"/>
      <c r="I52" s="133"/>
      <c r="J52" s="133"/>
      <c r="K52" s="137"/>
      <c r="L52" s="137" t="s">
        <v>182</v>
      </c>
      <c r="M52" s="129"/>
      <c r="N52" s="129"/>
      <c r="O52" s="130" t="str">
        <f t="shared" si="12"/>
        <v/>
      </c>
      <c r="P52" s="138"/>
      <c r="Q52" s="129"/>
      <c r="R52" s="129"/>
      <c r="S52" s="129"/>
      <c r="T52" s="129"/>
      <c r="U52" s="129"/>
      <c r="V52" s="129"/>
      <c r="W52" s="140"/>
      <c r="X52" s="141"/>
      <c r="Y52" s="144"/>
      <c r="Z52" s="133"/>
      <c r="AA52" s="133"/>
      <c r="AB52" s="133"/>
      <c r="AC52" s="133"/>
      <c r="AD52" s="133"/>
      <c r="AE52" s="137" t="s">
        <v>183</v>
      </c>
      <c r="AF52" s="145"/>
      <c r="AG52" s="129"/>
      <c r="AH52" s="129"/>
      <c r="AI52" s="129"/>
      <c r="AJ52" s="129"/>
      <c r="AK52" s="146"/>
      <c r="AL52" s="129"/>
      <c r="AM52" s="147"/>
      <c r="AN52" s="147"/>
      <c r="AO52" s="147" t="s">
        <v>113</v>
      </c>
      <c r="AP52" s="129"/>
      <c r="AQ52" s="129"/>
      <c r="AR52" s="140"/>
      <c r="AS52" s="140"/>
      <c r="AT52" s="150"/>
      <c r="AU52" s="144"/>
      <c r="AV52" s="133"/>
      <c r="AW52" s="133"/>
      <c r="AX52" s="140"/>
      <c r="AY52" s="141"/>
      <c r="AZ52" s="156"/>
      <c r="BA52" s="159"/>
      <c r="BB52" s="158" t="s">
        <v>102</v>
      </c>
    </row>
    <row r="53" spans="1:54" ht="81.75" customHeight="1" x14ac:dyDescent="0.15">
      <c r="A53" s="126">
        <f t="shared" si="6"/>
        <v>44</v>
      </c>
      <c r="B53" s="127"/>
      <c r="C53" s="128" t="str">
        <f t="shared" si="9"/>
        <v/>
      </c>
      <c r="D53" s="129"/>
      <c r="E53" s="130" t="str">
        <f t="shared" si="10"/>
        <v>0044</v>
      </c>
      <c r="F53" s="131" t="str">
        <f t="shared" si="11"/>
        <v/>
      </c>
      <c r="G53" s="132"/>
      <c r="H53" s="133"/>
      <c r="I53" s="133"/>
      <c r="J53" s="133"/>
      <c r="K53" s="137"/>
      <c r="L53" s="137" t="s">
        <v>182</v>
      </c>
      <c r="M53" s="129"/>
      <c r="N53" s="129"/>
      <c r="O53" s="130" t="str">
        <f t="shared" si="12"/>
        <v/>
      </c>
      <c r="P53" s="138"/>
      <c r="Q53" s="129"/>
      <c r="R53" s="129"/>
      <c r="S53" s="129"/>
      <c r="T53" s="129"/>
      <c r="U53" s="129"/>
      <c r="V53" s="129"/>
      <c r="W53" s="140"/>
      <c r="X53" s="141"/>
      <c r="Y53" s="144"/>
      <c r="Z53" s="133"/>
      <c r="AA53" s="133"/>
      <c r="AB53" s="133"/>
      <c r="AC53" s="133"/>
      <c r="AD53" s="133"/>
      <c r="AE53" s="137" t="s">
        <v>183</v>
      </c>
      <c r="AF53" s="145"/>
      <c r="AG53" s="129"/>
      <c r="AH53" s="129"/>
      <c r="AI53" s="129"/>
      <c r="AJ53" s="129"/>
      <c r="AK53" s="146"/>
      <c r="AL53" s="129"/>
      <c r="AM53" s="147"/>
      <c r="AN53" s="147"/>
      <c r="AO53" s="147"/>
      <c r="AP53" s="129"/>
      <c r="AQ53" s="129"/>
      <c r="AR53" s="140"/>
      <c r="AS53" s="140"/>
      <c r="AT53" s="150"/>
      <c r="AU53" s="144"/>
      <c r="AV53" s="133"/>
      <c r="AW53" s="133"/>
      <c r="AX53" s="140"/>
      <c r="AY53" s="141"/>
      <c r="AZ53" s="156"/>
      <c r="BA53" s="159"/>
      <c r="BB53" s="158" t="s">
        <v>102</v>
      </c>
    </row>
    <row r="54" spans="1:54" ht="81.75" customHeight="1" x14ac:dyDescent="0.15">
      <c r="A54" s="126">
        <f t="shared" si="6"/>
        <v>45</v>
      </c>
      <c r="B54" s="127"/>
      <c r="C54" s="128" t="str">
        <f t="shared" si="9"/>
        <v/>
      </c>
      <c r="D54" s="129"/>
      <c r="E54" s="130" t="str">
        <f t="shared" si="10"/>
        <v>0045</v>
      </c>
      <c r="F54" s="131" t="str">
        <f t="shared" si="11"/>
        <v/>
      </c>
      <c r="G54" s="132"/>
      <c r="H54" s="133"/>
      <c r="I54" s="133"/>
      <c r="J54" s="133"/>
      <c r="K54" s="137"/>
      <c r="L54" s="137" t="s">
        <v>182</v>
      </c>
      <c r="M54" s="129"/>
      <c r="N54" s="129"/>
      <c r="O54" s="130" t="str">
        <f t="shared" si="12"/>
        <v/>
      </c>
      <c r="P54" s="138"/>
      <c r="Q54" s="129"/>
      <c r="R54" s="129"/>
      <c r="S54" s="129"/>
      <c r="T54" s="129"/>
      <c r="U54" s="129"/>
      <c r="V54" s="129"/>
      <c r="W54" s="140"/>
      <c r="X54" s="141"/>
      <c r="Y54" s="144"/>
      <c r="Z54" s="133"/>
      <c r="AA54" s="133"/>
      <c r="AB54" s="133"/>
      <c r="AC54" s="133"/>
      <c r="AD54" s="133"/>
      <c r="AE54" s="137" t="s">
        <v>183</v>
      </c>
      <c r="AF54" s="145"/>
      <c r="AG54" s="129"/>
      <c r="AH54" s="129"/>
      <c r="AI54" s="129"/>
      <c r="AJ54" s="129"/>
      <c r="AK54" s="146"/>
      <c r="AL54" s="129"/>
      <c r="AM54" s="147"/>
      <c r="AN54" s="147"/>
      <c r="AO54" s="147" t="s">
        <v>113</v>
      </c>
      <c r="AP54" s="129"/>
      <c r="AQ54" s="129"/>
      <c r="AR54" s="140"/>
      <c r="AS54" s="140"/>
      <c r="AT54" s="150"/>
      <c r="AU54" s="144"/>
      <c r="AV54" s="133"/>
      <c r="AW54" s="133"/>
      <c r="AX54" s="140"/>
      <c r="AY54" s="141"/>
      <c r="AZ54" s="156"/>
      <c r="BA54" s="159"/>
      <c r="BB54" s="158" t="s">
        <v>102</v>
      </c>
    </row>
    <row r="55" spans="1:54" ht="81.75" customHeight="1" x14ac:dyDescent="0.15">
      <c r="A55" s="126">
        <f t="shared" si="6"/>
        <v>46</v>
      </c>
      <c r="B55" s="127"/>
      <c r="C55" s="128" t="str">
        <f t="shared" si="9"/>
        <v/>
      </c>
      <c r="D55" s="129"/>
      <c r="E55" s="130" t="str">
        <f t="shared" si="10"/>
        <v>0046</v>
      </c>
      <c r="F55" s="131" t="str">
        <f t="shared" si="11"/>
        <v/>
      </c>
      <c r="G55" s="132"/>
      <c r="H55" s="133"/>
      <c r="I55" s="133"/>
      <c r="J55" s="133"/>
      <c r="K55" s="137"/>
      <c r="L55" s="137" t="s">
        <v>182</v>
      </c>
      <c r="M55" s="129"/>
      <c r="N55" s="129"/>
      <c r="O55" s="130" t="str">
        <f t="shared" si="12"/>
        <v/>
      </c>
      <c r="P55" s="138"/>
      <c r="Q55" s="129"/>
      <c r="R55" s="129"/>
      <c r="S55" s="129"/>
      <c r="T55" s="129"/>
      <c r="U55" s="129"/>
      <c r="V55" s="129"/>
      <c r="W55" s="140"/>
      <c r="X55" s="141"/>
      <c r="Y55" s="144"/>
      <c r="Z55" s="133"/>
      <c r="AA55" s="133"/>
      <c r="AB55" s="133"/>
      <c r="AC55" s="133"/>
      <c r="AD55" s="133"/>
      <c r="AE55" s="137" t="s">
        <v>183</v>
      </c>
      <c r="AF55" s="145"/>
      <c r="AG55" s="129"/>
      <c r="AH55" s="129"/>
      <c r="AI55" s="129"/>
      <c r="AJ55" s="129"/>
      <c r="AK55" s="146"/>
      <c r="AL55" s="129"/>
      <c r="AM55" s="147"/>
      <c r="AN55" s="147"/>
      <c r="AO55" s="147"/>
      <c r="AP55" s="129"/>
      <c r="AQ55" s="129"/>
      <c r="AR55" s="140"/>
      <c r="AS55" s="140"/>
      <c r="AT55" s="150"/>
      <c r="AU55" s="144"/>
      <c r="AV55" s="133"/>
      <c r="AW55" s="133"/>
      <c r="AX55" s="140"/>
      <c r="AY55" s="141"/>
      <c r="AZ55" s="156"/>
      <c r="BA55" s="159"/>
      <c r="BB55" s="158" t="s">
        <v>102</v>
      </c>
    </row>
    <row r="56" spans="1:54" ht="81.75" customHeight="1" x14ac:dyDescent="0.15">
      <c r="A56" s="126">
        <f t="shared" si="6"/>
        <v>47</v>
      </c>
      <c r="B56" s="127"/>
      <c r="C56" s="128" t="str">
        <f t="shared" ref="C56:C65" si="13">IF(AND(H56&lt;&gt;"",AW56&lt;&gt;""),"検証完了",IF(AND(H56&lt;&gt;"",AB56&lt;&gt;""),"修正完了",IF(AND(H56&lt;&gt;"",Z56&lt;&gt;""),"対応中",IF(H56&lt;&gt;"","未着手",""))))</f>
        <v/>
      </c>
      <c r="D56" s="129"/>
      <c r="E56" s="130" t="str">
        <f t="shared" ref="E56:E65" si="14">TEXT(A56,"0000")</f>
        <v>0047</v>
      </c>
      <c r="F56" s="131" t="str">
        <f t="shared" ref="F56:F65" si="15">IF(D56="","",CONCATENATE(D56,"-",E56))</f>
        <v/>
      </c>
      <c r="G56" s="132"/>
      <c r="H56" s="133"/>
      <c r="I56" s="133"/>
      <c r="J56" s="133"/>
      <c r="K56" s="137"/>
      <c r="L56" s="137" t="s">
        <v>182</v>
      </c>
      <c r="M56" s="129"/>
      <c r="N56" s="129"/>
      <c r="O56" s="130" t="str">
        <f t="shared" ref="O56:O65" si="16">IF(AND(M56&lt;&gt;"",N56&lt;&gt;""),CONCATENATE(M56,"-",N56),"")</f>
        <v/>
      </c>
      <c r="P56" s="138"/>
      <c r="Q56" s="129"/>
      <c r="R56" s="129"/>
      <c r="S56" s="129"/>
      <c r="T56" s="129"/>
      <c r="U56" s="129"/>
      <c r="V56" s="129"/>
      <c r="W56" s="140"/>
      <c r="X56" s="141"/>
      <c r="Y56" s="144"/>
      <c r="Z56" s="133"/>
      <c r="AA56" s="133"/>
      <c r="AB56" s="133"/>
      <c r="AC56" s="133"/>
      <c r="AD56" s="133"/>
      <c r="AE56" s="137" t="s">
        <v>183</v>
      </c>
      <c r="AF56" s="145"/>
      <c r="AG56" s="129"/>
      <c r="AH56" s="129"/>
      <c r="AI56" s="129"/>
      <c r="AJ56" s="129"/>
      <c r="AK56" s="146"/>
      <c r="AL56" s="129"/>
      <c r="AM56" s="147"/>
      <c r="AN56" s="147"/>
      <c r="AO56" s="147" t="s">
        <v>113</v>
      </c>
      <c r="AP56" s="129"/>
      <c r="AQ56" s="129"/>
      <c r="AR56" s="140"/>
      <c r="AS56" s="140"/>
      <c r="AT56" s="150"/>
      <c r="AU56" s="144"/>
      <c r="AV56" s="133"/>
      <c r="AW56" s="133"/>
      <c r="AX56" s="140"/>
      <c r="AY56" s="141"/>
      <c r="AZ56" s="156"/>
      <c r="BA56" s="159"/>
      <c r="BB56" s="158" t="s">
        <v>102</v>
      </c>
    </row>
    <row r="57" spans="1:54" ht="81.75" customHeight="1" x14ac:dyDescent="0.15">
      <c r="A57" s="126">
        <f t="shared" si="6"/>
        <v>48</v>
      </c>
      <c r="B57" s="127"/>
      <c r="C57" s="128" t="str">
        <f t="shared" si="13"/>
        <v/>
      </c>
      <c r="D57" s="129"/>
      <c r="E57" s="130" t="str">
        <f t="shared" si="14"/>
        <v>0048</v>
      </c>
      <c r="F57" s="131" t="str">
        <f t="shared" si="15"/>
        <v/>
      </c>
      <c r="G57" s="132"/>
      <c r="H57" s="133"/>
      <c r="I57" s="133"/>
      <c r="J57" s="133"/>
      <c r="K57" s="137"/>
      <c r="L57" s="137" t="s">
        <v>182</v>
      </c>
      <c r="M57" s="129"/>
      <c r="N57" s="129"/>
      <c r="O57" s="130" t="str">
        <f t="shared" si="16"/>
        <v/>
      </c>
      <c r="P57" s="138"/>
      <c r="Q57" s="129"/>
      <c r="R57" s="129"/>
      <c r="S57" s="129"/>
      <c r="T57" s="129"/>
      <c r="U57" s="129"/>
      <c r="V57" s="129"/>
      <c r="W57" s="140"/>
      <c r="X57" s="141"/>
      <c r="Y57" s="144"/>
      <c r="Z57" s="133"/>
      <c r="AA57" s="133"/>
      <c r="AB57" s="133"/>
      <c r="AC57" s="133"/>
      <c r="AD57" s="133"/>
      <c r="AE57" s="137" t="s">
        <v>183</v>
      </c>
      <c r="AF57" s="145"/>
      <c r="AG57" s="129"/>
      <c r="AH57" s="129"/>
      <c r="AI57" s="129"/>
      <c r="AJ57" s="129"/>
      <c r="AK57" s="146"/>
      <c r="AL57" s="129"/>
      <c r="AM57" s="147"/>
      <c r="AN57" s="147"/>
      <c r="AO57" s="147"/>
      <c r="AP57" s="129"/>
      <c r="AQ57" s="129"/>
      <c r="AR57" s="140"/>
      <c r="AS57" s="140"/>
      <c r="AT57" s="150"/>
      <c r="AU57" s="144"/>
      <c r="AV57" s="133"/>
      <c r="AW57" s="133"/>
      <c r="AX57" s="140"/>
      <c r="AY57" s="141"/>
      <c r="AZ57" s="156"/>
      <c r="BA57" s="159"/>
      <c r="BB57" s="158" t="s">
        <v>102</v>
      </c>
    </row>
    <row r="58" spans="1:54" ht="81.75" customHeight="1" x14ac:dyDescent="0.15">
      <c r="A58" s="126">
        <f t="shared" si="6"/>
        <v>49</v>
      </c>
      <c r="B58" s="127"/>
      <c r="C58" s="128" t="str">
        <f t="shared" si="13"/>
        <v/>
      </c>
      <c r="D58" s="129"/>
      <c r="E58" s="130" t="str">
        <f t="shared" si="14"/>
        <v>0049</v>
      </c>
      <c r="F58" s="131" t="str">
        <f t="shared" si="15"/>
        <v/>
      </c>
      <c r="G58" s="132"/>
      <c r="H58" s="133"/>
      <c r="I58" s="133"/>
      <c r="J58" s="133"/>
      <c r="K58" s="137"/>
      <c r="L58" s="137" t="s">
        <v>182</v>
      </c>
      <c r="M58" s="129"/>
      <c r="N58" s="129"/>
      <c r="O58" s="130" t="str">
        <f t="shared" si="16"/>
        <v/>
      </c>
      <c r="P58" s="138"/>
      <c r="Q58" s="129"/>
      <c r="R58" s="129"/>
      <c r="S58" s="129"/>
      <c r="T58" s="129"/>
      <c r="U58" s="129"/>
      <c r="V58" s="129"/>
      <c r="W58" s="140"/>
      <c r="X58" s="141"/>
      <c r="Y58" s="144"/>
      <c r="Z58" s="133"/>
      <c r="AA58" s="133"/>
      <c r="AB58" s="133"/>
      <c r="AC58" s="133"/>
      <c r="AD58" s="133"/>
      <c r="AE58" s="137" t="s">
        <v>183</v>
      </c>
      <c r="AF58" s="145"/>
      <c r="AG58" s="129"/>
      <c r="AH58" s="129"/>
      <c r="AI58" s="129"/>
      <c r="AJ58" s="129"/>
      <c r="AK58" s="146"/>
      <c r="AL58" s="129"/>
      <c r="AM58" s="147"/>
      <c r="AN58" s="147"/>
      <c r="AO58" s="147" t="s">
        <v>113</v>
      </c>
      <c r="AP58" s="129"/>
      <c r="AQ58" s="129"/>
      <c r="AR58" s="140"/>
      <c r="AS58" s="140"/>
      <c r="AT58" s="150"/>
      <c r="AU58" s="144"/>
      <c r="AV58" s="133"/>
      <c r="AW58" s="133"/>
      <c r="AX58" s="140"/>
      <c r="AY58" s="141"/>
      <c r="AZ58" s="156"/>
      <c r="BA58" s="159"/>
      <c r="BB58" s="158" t="s">
        <v>102</v>
      </c>
    </row>
    <row r="59" spans="1:54" ht="81.75" customHeight="1" x14ac:dyDescent="0.15">
      <c r="A59" s="126">
        <f t="shared" si="6"/>
        <v>50</v>
      </c>
      <c r="B59" s="127"/>
      <c r="C59" s="128" t="str">
        <f t="shared" si="13"/>
        <v/>
      </c>
      <c r="D59" s="129"/>
      <c r="E59" s="130" t="str">
        <f t="shared" si="14"/>
        <v>0050</v>
      </c>
      <c r="F59" s="131" t="str">
        <f t="shared" si="15"/>
        <v/>
      </c>
      <c r="G59" s="132"/>
      <c r="H59" s="133"/>
      <c r="I59" s="133"/>
      <c r="J59" s="133"/>
      <c r="K59" s="137"/>
      <c r="L59" s="137" t="s">
        <v>182</v>
      </c>
      <c r="M59" s="129"/>
      <c r="N59" s="129"/>
      <c r="O59" s="130" t="str">
        <f t="shared" si="16"/>
        <v/>
      </c>
      <c r="P59" s="138"/>
      <c r="Q59" s="129"/>
      <c r="R59" s="129"/>
      <c r="S59" s="129"/>
      <c r="T59" s="129"/>
      <c r="U59" s="129"/>
      <c r="V59" s="129"/>
      <c r="W59" s="140"/>
      <c r="X59" s="141"/>
      <c r="Y59" s="144"/>
      <c r="Z59" s="133"/>
      <c r="AA59" s="133"/>
      <c r="AB59" s="133"/>
      <c r="AC59" s="133"/>
      <c r="AD59" s="133"/>
      <c r="AE59" s="137" t="s">
        <v>183</v>
      </c>
      <c r="AF59" s="145"/>
      <c r="AG59" s="129"/>
      <c r="AH59" s="129"/>
      <c r="AI59" s="129"/>
      <c r="AJ59" s="129"/>
      <c r="AK59" s="146"/>
      <c r="AL59" s="129"/>
      <c r="AM59" s="147"/>
      <c r="AN59" s="147"/>
      <c r="AO59" s="147"/>
      <c r="AP59" s="129"/>
      <c r="AQ59" s="129"/>
      <c r="AR59" s="140"/>
      <c r="AS59" s="140"/>
      <c r="AT59" s="150"/>
      <c r="AU59" s="144"/>
      <c r="AV59" s="133"/>
      <c r="AW59" s="133"/>
      <c r="AX59" s="140"/>
      <c r="AY59" s="141"/>
      <c r="AZ59" s="156"/>
      <c r="BA59" s="159"/>
      <c r="BB59" s="158" t="s">
        <v>102</v>
      </c>
    </row>
    <row r="60" spans="1:54" ht="81.75" customHeight="1" x14ac:dyDescent="0.15">
      <c r="A60" s="126">
        <f t="shared" si="6"/>
        <v>51</v>
      </c>
      <c r="B60" s="127"/>
      <c r="C60" s="128" t="str">
        <f t="shared" si="13"/>
        <v/>
      </c>
      <c r="D60" s="129"/>
      <c r="E60" s="130" t="str">
        <f t="shared" si="14"/>
        <v>0051</v>
      </c>
      <c r="F60" s="131" t="str">
        <f t="shared" si="15"/>
        <v/>
      </c>
      <c r="G60" s="132"/>
      <c r="H60" s="133"/>
      <c r="I60" s="133"/>
      <c r="J60" s="133"/>
      <c r="K60" s="137"/>
      <c r="L60" s="137" t="s">
        <v>182</v>
      </c>
      <c r="M60" s="129"/>
      <c r="N60" s="129"/>
      <c r="O60" s="130" t="str">
        <f t="shared" si="16"/>
        <v/>
      </c>
      <c r="P60" s="138"/>
      <c r="Q60" s="129"/>
      <c r="R60" s="129"/>
      <c r="S60" s="129"/>
      <c r="T60" s="129"/>
      <c r="U60" s="129"/>
      <c r="V60" s="129"/>
      <c r="W60" s="140"/>
      <c r="X60" s="141"/>
      <c r="Y60" s="144"/>
      <c r="Z60" s="133"/>
      <c r="AA60" s="133"/>
      <c r="AB60" s="133"/>
      <c r="AC60" s="133"/>
      <c r="AD60" s="133"/>
      <c r="AE60" s="137" t="s">
        <v>183</v>
      </c>
      <c r="AF60" s="145"/>
      <c r="AG60" s="129"/>
      <c r="AH60" s="129"/>
      <c r="AI60" s="129"/>
      <c r="AJ60" s="129"/>
      <c r="AK60" s="146"/>
      <c r="AL60" s="129"/>
      <c r="AM60" s="147"/>
      <c r="AN60" s="147"/>
      <c r="AO60" s="147" t="s">
        <v>113</v>
      </c>
      <c r="AP60" s="129"/>
      <c r="AQ60" s="129"/>
      <c r="AR60" s="140"/>
      <c r="AS60" s="140"/>
      <c r="AT60" s="150"/>
      <c r="AU60" s="144"/>
      <c r="AV60" s="133"/>
      <c r="AW60" s="133"/>
      <c r="AX60" s="140"/>
      <c r="AY60" s="141"/>
      <c r="AZ60" s="156"/>
      <c r="BA60" s="159"/>
      <c r="BB60" s="158" t="s">
        <v>102</v>
      </c>
    </row>
    <row r="61" spans="1:54" ht="81.75" customHeight="1" x14ac:dyDescent="0.15">
      <c r="A61" s="126">
        <f t="shared" si="6"/>
        <v>52</v>
      </c>
      <c r="B61" s="127"/>
      <c r="C61" s="128" t="str">
        <f t="shared" si="13"/>
        <v/>
      </c>
      <c r="D61" s="129"/>
      <c r="E61" s="130" t="str">
        <f t="shared" si="14"/>
        <v>0052</v>
      </c>
      <c r="F61" s="131" t="str">
        <f t="shared" si="15"/>
        <v/>
      </c>
      <c r="G61" s="132"/>
      <c r="H61" s="133"/>
      <c r="I61" s="133"/>
      <c r="J61" s="133"/>
      <c r="K61" s="137"/>
      <c r="L61" s="137" t="s">
        <v>182</v>
      </c>
      <c r="M61" s="129"/>
      <c r="N61" s="129"/>
      <c r="O61" s="130" t="str">
        <f t="shared" si="16"/>
        <v/>
      </c>
      <c r="P61" s="138"/>
      <c r="Q61" s="129"/>
      <c r="R61" s="129"/>
      <c r="S61" s="129"/>
      <c r="T61" s="129"/>
      <c r="U61" s="129"/>
      <c r="V61" s="129"/>
      <c r="W61" s="140"/>
      <c r="X61" s="141"/>
      <c r="Y61" s="144"/>
      <c r="Z61" s="133"/>
      <c r="AA61" s="133"/>
      <c r="AB61" s="133"/>
      <c r="AC61" s="133"/>
      <c r="AD61" s="133"/>
      <c r="AE61" s="137" t="s">
        <v>183</v>
      </c>
      <c r="AF61" s="145"/>
      <c r="AG61" s="129"/>
      <c r="AH61" s="129"/>
      <c r="AI61" s="129"/>
      <c r="AJ61" s="129"/>
      <c r="AK61" s="146"/>
      <c r="AL61" s="129"/>
      <c r="AM61" s="147"/>
      <c r="AN61" s="147"/>
      <c r="AO61" s="147"/>
      <c r="AP61" s="129"/>
      <c r="AQ61" s="129"/>
      <c r="AR61" s="140"/>
      <c r="AS61" s="140"/>
      <c r="AT61" s="150"/>
      <c r="AU61" s="144"/>
      <c r="AV61" s="133"/>
      <c r="AW61" s="133"/>
      <c r="AX61" s="140"/>
      <c r="AY61" s="141"/>
      <c r="AZ61" s="156"/>
      <c r="BA61" s="159"/>
      <c r="BB61" s="158" t="s">
        <v>102</v>
      </c>
    </row>
    <row r="62" spans="1:54" ht="81.75" customHeight="1" x14ac:dyDescent="0.15">
      <c r="A62" s="126">
        <f t="shared" si="6"/>
        <v>53</v>
      </c>
      <c r="B62" s="127"/>
      <c r="C62" s="128" t="str">
        <f t="shared" si="13"/>
        <v/>
      </c>
      <c r="D62" s="129"/>
      <c r="E62" s="130" t="str">
        <f t="shared" si="14"/>
        <v>0053</v>
      </c>
      <c r="F62" s="131" t="str">
        <f t="shared" si="15"/>
        <v/>
      </c>
      <c r="G62" s="132"/>
      <c r="H62" s="133"/>
      <c r="I62" s="133"/>
      <c r="J62" s="133"/>
      <c r="K62" s="137"/>
      <c r="L62" s="137" t="s">
        <v>182</v>
      </c>
      <c r="M62" s="129"/>
      <c r="N62" s="129"/>
      <c r="O62" s="130" t="str">
        <f t="shared" si="16"/>
        <v/>
      </c>
      <c r="P62" s="138"/>
      <c r="Q62" s="129"/>
      <c r="R62" s="129"/>
      <c r="S62" s="129"/>
      <c r="T62" s="129"/>
      <c r="U62" s="129"/>
      <c r="V62" s="129"/>
      <c r="W62" s="140"/>
      <c r="X62" s="141"/>
      <c r="Y62" s="144"/>
      <c r="Z62" s="133"/>
      <c r="AA62" s="133"/>
      <c r="AB62" s="133"/>
      <c r="AC62" s="133"/>
      <c r="AD62" s="133"/>
      <c r="AE62" s="137" t="s">
        <v>183</v>
      </c>
      <c r="AF62" s="145"/>
      <c r="AG62" s="129"/>
      <c r="AH62" s="129"/>
      <c r="AI62" s="129"/>
      <c r="AJ62" s="129"/>
      <c r="AK62" s="146"/>
      <c r="AL62" s="129"/>
      <c r="AM62" s="147"/>
      <c r="AN62" s="147"/>
      <c r="AO62" s="147" t="s">
        <v>113</v>
      </c>
      <c r="AP62" s="129"/>
      <c r="AQ62" s="129"/>
      <c r="AR62" s="140"/>
      <c r="AS62" s="140"/>
      <c r="AT62" s="150"/>
      <c r="AU62" s="144"/>
      <c r="AV62" s="133"/>
      <c r="AW62" s="133"/>
      <c r="AX62" s="140"/>
      <c r="AY62" s="141"/>
      <c r="AZ62" s="156"/>
      <c r="BA62" s="159"/>
      <c r="BB62" s="158" t="s">
        <v>102</v>
      </c>
    </row>
    <row r="63" spans="1:54" ht="81.75" customHeight="1" x14ac:dyDescent="0.15">
      <c r="A63" s="126">
        <f t="shared" si="6"/>
        <v>54</v>
      </c>
      <c r="B63" s="127"/>
      <c r="C63" s="128" t="str">
        <f t="shared" si="13"/>
        <v/>
      </c>
      <c r="D63" s="129"/>
      <c r="E63" s="130" t="str">
        <f t="shared" si="14"/>
        <v>0054</v>
      </c>
      <c r="F63" s="131" t="str">
        <f t="shared" si="15"/>
        <v/>
      </c>
      <c r="G63" s="132"/>
      <c r="H63" s="133"/>
      <c r="I63" s="133"/>
      <c r="J63" s="133"/>
      <c r="K63" s="137"/>
      <c r="L63" s="137" t="s">
        <v>182</v>
      </c>
      <c r="M63" s="129"/>
      <c r="N63" s="129"/>
      <c r="O63" s="130" t="str">
        <f t="shared" si="16"/>
        <v/>
      </c>
      <c r="P63" s="138"/>
      <c r="Q63" s="129"/>
      <c r="R63" s="129"/>
      <c r="S63" s="129"/>
      <c r="T63" s="129"/>
      <c r="U63" s="129"/>
      <c r="V63" s="129"/>
      <c r="W63" s="140"/>
      <c r="X63" s="141"/>
      <c r="Y63" s="144"/>
      <c r="Z63" s="133"/>
      <c r="AA63" s="133"/>
      <c r="AB63" s="133"/>
      <c r="AC63" s="133"/>
      <c r="AD63" s="133"/>
      <c r="AE63" s="137" t="s">
        <v>183</v>
      </c>
      <c r="AF63" s="145"/>
      <c r="AG63" s="129"/>
      <c r="AH63" s="129"/>
      <c r="AI63" s="129"/>
      <c r="AJ63" s="129"/>
      <c r="AK63" s="146"/>
      <c r="AL63" s="129"/>
      <c r="AM63" s="147"/>
      <c r="AN63" s="147"/>
      <c r="AO63" s="147"/>
      <c r="AP63" s="129"/>
      <c r="AQ63" s="129"/>
      <c r="AR63" s="140"/>
      <c r="AS63" s="140"/>
      <c r="AT63" s="150"/>
      <c r="AU63" s="144"/>
      <c r="AV63" s="133"/>
      <c r="AW63" s="133"/>
      <c r="AX63" s="140"/>
      <c r="AY63" s="141"/>
      <c r="AZ63" s="156"/>
      <c r="BA63" s="159"/>
      <c r="BB63" s="158" t="s">
        <v>102</v>
      </c>
    </row>
    <row r="64" spans="1:54" ht="81.75" customHeight="1" x14ac:dyDescent="0.15">
      <c r="A64" s="126">
        <f t="shared" si="6"/>
        <v>55</v>
      </c>
      <c r="B64" s="127"/>
      <c r="C64" s="128" t="str">
        <f t="shared" si="13"/>
        <v/>
      </c>
      <c r="D64" s="129"/>
      <c r="E64" s="130" t="str">
        <f t="shared" si="14"/>
        <v>0055</v>
      </c>
      <c r="F64" s="131" t="str">
        <f t="shared" si="15"/>
        <v/>
      </c>
      <c r="G64" s="132"/>
      <c r="H64" s="133"/>
      <c r="I64" s="133"/>
      <c r="J64" s="133"/>
      <c r="K64" s="137"/>
      <c r="L64" s="137" t="s">
        <v>182</v>
      </c>
      <c r="M64" s="129"/>
      <c r="N64" s="129"/>
      <c r="O64" s="130" t="str">
        <f t="shared" si="16"/>
        <v/>
      </c>
      <c r="P64" s="138"/>
      <c r="Q64" s="129"/>
      <c r="R64" s="129"/>
      <c r="S64" s="129"/>
      <c r="T64" s="129"/>
      <c r="U64" s="129"/>
      <c r="V64" s="129"/>
      <c r="W64" s="140"/>
      <c r="X64" s="141"/>
      <c r="Y64" s="144"/>
      <c r="Z64" s="133"/>
      <c r="AA64" s="133"/>
      <c r="AB64" s="133"/>
      <c r="AC64" s="133"/>
      <c r="AD64" s="133"/>
      <c r="AE64" s="137" t="s">
        <v>183</v>
      </c>
      <c r="AF64" s="145"/>
      <c r="AG64" s="129"/>
      <c r="AH64" s="129"/>
      <c r="AI64" s="129"/>
      <c r="AJ64" s="129"/>
      <c r="AK64" s="146"/>
      <c r="AL64" s="129"/>
      <c r="AM64" s="147"/>
      <c r="AN64" s="147"/>
      <c r="AO64" s="147" t="s">
        <v>113</v>
      </c>
      <c r="AP64" s="129"/>
      <c r="AQ64" s="129"/>
      <c r="AR64" s="140"/>
      <c r="AS64" s="140"/>
      <c r="AT64" s="150"/>
      <c r="AU64" s="144"/>
      <c r="AV64" s="133"/>
      <c r="AW64" s="133"/>
      <c r="AX64" s="140"/>
      <c r="AY64" s="141"/>
      <c r="AZ64" s="156"/>
      <c r="BA64" s="159"/>
      <c r="BB64" s="158" t="s">
        <v>102</v>
      </c>
    </row>
    <row r="65" spans="1:54" ht="81.75" customHeight="1" x14ac:dyDescent="0.15">
      <c r="A65" s="126">
        <f t="shared" si="6"/>
        <v>56</v>
      </c>
      <c r="B65" s="127"/>
      <c r="C65" s="128" t="str">
        <f t="shared" si="13"/>
        <v/>
      </c>
      <c r="D65" s="129"/>
      <c r="E65" s="130" t="str">
        <f t="shared" si="14"/>
        <v>0056</v>
      </c>
      <c r="F65" s="131" t="str">
        <f t="shared" si="15"/>
        <v/>
      </c>
      <c r="G65" s="132"/>
      <c r="H65" s="133"/>
      <c r="I65" s="133"/>
      <c r="J65" s="133"/>
      <c r="K65" s="137"/>
      <c r="L65" s="137" t="s">
        <v>182</v>
      </c>
      <c r="M65" s="129"/>
      <c r="N65" s="129"/>
      <c r="O65" s="130" t="str">
        <f t="shared" si="16"/>
        <v/>
      </c>
      <c r="P65" s="138"/>
      <c r="Q65" s="129"/>
      <c r="R65" s="129"/>
      <c r="S65" s="129"/>
      <c r="T65" s="129"/>
      <c r="U65" s="129"/>
      <c r="V65" s="129"/>
      <c r="W65" s="140"/>
      <c r="X65" s="141"/>
      <c r="Y65" s="144"/>
      <c r="Z65" s="133"/>
      <c r="AA65" s="133"/>
      <c r="AB65" s="133"/>
      <c r="AC65" s="133"/>
      <c r="AD65" s="133"/>
      <c r="AE65" s="137" t="s">
        <v>183</v>
      </c>
      <c r="AF65" s="145"/>
      <c r="AG65" s="129"/>
      <c r="AH65" s="129"/>
      <c r="AI65" s="129"/>
      <c r="AJ65" s="129"/>
      <c r="AK65" s="146"/>
      <c r="AL65" s="129"/>
      <c r="AM65" s="147"/>
      <c r="AN65" s="147"/>
      <c r="AO65" s="147"/>
      <c r="AP65" s="129"/>
      <c r="AQ65" s="129"/>
      <c r="AR65" s="140"/>
      <c r="AS65" s="140"/>
      <c r="AT65" s="150"/>
      <c r="AU65" s="144"/>
      <c r="AV65" s="133"/>
      <c r="AW65" s="133"/>
      <c r="AX65" s="140"/>
      <c r="AY65" s="141"/>
      <c r="AZ65" s="156"/>
      <c r="BA65" s="159"/>
      <c r="BB65" s="158" t="s">
        <v>102</v>
      </c>
    </row>
    <row r="66" spans="1:54" ht="81.75" customHeight="1" x14ac:dyDescent="0.15">
      <c r="A66" s="126">
        <f t="shared" si="6"/>
        <v>57</v>
      </c>
      <c r="B66" s="127"/>
      <c r="C66" s="128" t="str">
        <f t="shared" ref="C66:C75" si="17">IF(AND(H66&lt;&gt;"",AW66&lt;&gt;""),"検証完了",IF(AND(H66&lt;&gt;"",AB66&lt;&gt;""),"修正完了",IF(AND(H66&lt;&gt;"",Z66&lt;&gt;""),"対応中",IF(H66&lt;&gt;"","未着手",""))))</f>
        <v/>
      </c>
      <c r="D66" s="129"/>
      <c r="E66" s="130" t="str">
        <f t="shared" ref="E66:E75" si="18">TEXT(A66,"0000")</f>
        <v>0057</v>
      </c>
      <c r="F66" s="131" t="str">
        <f t="shared" ref="F66:F75" si="19">IF(D66="","",CONCATENATE(D66,"-",E66))</f>
        <v/>
      </c>
      <c r="G66" s="132"/>
      <c r="H66" s="133"/>
      <c r="I66" s="133"/>
      <c r="J66" s="133"/>
      <c r="K66" s="137"/>
      <c r="L66" s="137" t="s">
        <v>182</v>
      </c>
      <c r="M66" s="129"/>
      <c r="N66" s="129"/>
      <c r="O66" s="130" t="str">
        <f t="shared" ref="O66:O75" si="20">IF(AND(M66&lt;&gt;"",N66&lt;&gt;""),CONCATENATE(M66,"-",N66),"")</f>
        <v/>
      </c>
      <c r="P66" s="138"/>
      <c r="Q66" s="129"/>
      <c r="R66" s="129"/>
      <c r="S66" s="129"/>
      <c r="T66" s="129"/>
      <c r="U66" s="129"/>
      <c r="V66" s="129"/>
      <c r="W66" s="140"/>
      <c r="X66" s="141"/>
      <c r="Y66" s="144"/>
      <c r="Z66" s="133"/>
      <c r="AA66" s="133"/>
      <c r="AB66" s="133"/>
      <c r="AC66" s="133"/>
      <c r="AD66" s="133"/>
      <c r="AE66" s="137" t="s">
        <v>183</v>
      </c>
      <c r="AF66" s="145"/>
      <c r="AG66" s="129"/>
      <c r="AH66" s="129"/>
      <c r="AI66" s="129"/>
      <c r="AJ66" s="129"/>
      <c r="AK66" s="146"/>
      <c r="AL66" s="129"/>
      <c r="AM66" s="147"/>
      <c r="AN66" s="147"/>
      <c r="AO66" s="147" t="s">
        <v>113</v>
      </c>
      <c r="AP66" s="129"/>
      <c r="AQ66" s="129"/>
      <c r="AR66" s="140"/>
      <c r="AS66" s="140"/>
      <c r="AT66" s="150"/>
      <c r="AU66" s="144"/>
      <c r="AV66" s="133"/>
      <c r="AW66" s="133"/>
      <c r="AX66" s="140"/>
      <c r="AY66" s="141"/>
      <c r="AZ66" s="156"/>
      <c r="BA66" s="159"/>
      <c r="BB66" s="158" t="s">
        <v>102</v>
      </c>
    </row>
    <row r="67" spans="1:54" ht="81.75" customHeight="1" x14ac:dyDescent="0.15">
      <c r="A67" s="126">
        <f t="shared" si="6"/>
        <v>58</v>
      </c>
      <c r="B67" s="127"/>
      <c r="C67" s="128" t="str">
        <f t="shared" si="17"/>
        <v/>
      </c>
      <c r="D67" s="129"/>
      <c r="E67" s="130" t="str">
        <f t="shared" si="18"/>
        <v>0058</v>
      </c>
      <c r="F67" s="131" t="str">
        <f t="shared" si="19"/>
        <v/>
      </c>
      <c r="G67" s="132"/>
      <c r="H67" s="133"/>
      <c r="I67" s="133"/>
      <c r="J67" s="133"/>
      <c r="K67" s="137"/>
      <c r="L67" s="137" t="s">
        <v>182</v>
      </c>
      <c r="M67" s="129"/>
      <c r="N67" s="129"/>
      <c r="O67" s="130" t="str">
        <f t="shared" si="20"/>
        <v/>
      </c>
      <c r="P67" s="138"/>
      <c r="Q67" s="129"/>
      <c r="R67" s="129"/>
      <c r="S67" s="129"/>
      <c r="T67" s="129"/>
      <c r="U67" s="129"/>
      <c r="V67" s="129"/>
      <c r="W67" s="140"/>
      <c r="X67" s="141"/>
      <c r="Y67" s="144"/>
      <c r="Z67" s="133"/>
      <c r="AA67" s="133"/>
      <c r="AB67" s="133"/>
      <c r="AC67" s="133"/>
      <c r="AD67" s="133"/>
      <c r="AE67" s="137" t="s">
        <v>183</v>
      </c>
      <c r="AF67" s="145"/>
      <c r="AG67" s="129"/>
      <c r="AH67" s="129"/>
      <c r="AI67" s="129"/>
      <c r="AJ67" s="129"/>
      <c r="AK67" s="146"/>
      <c r="AL67" s="129"/>
      <c r="AM67" s="147"/>
      <c r="AN67" s="147"/>
      <c r="AO67" s="147"/>
      <c r="AP67" s="129"/>
      <c r="AQ67" s="129"/>
      <c r="AR67" s="140"/>
      <c r="AS67" s="140"/>
      <c r="AT67" s="150"/>
      <c r="AU67" s="144"/>
      <c r="AV67" s="133"/>
      <c r="AW67" s="133"/>
      <c r="AX67" s="140"/>
      <c r="AY67" s="141"/>
      <c r="AZ67" s="156"/>
      <c r="BA67" s="159"/>
      <c r="BB67" s="158" t="s">
        <v>102</v>
      </c>
    </row>
    <row r="68" spans="1:54" ht="81.75" customHeight="1" x14ac:dyDescent="0.15">
      <c r="A68" s="126">
        <f t="shared" si="6"/>
        <v>59</v>
      </c>
      <c r="B68" s="127"/>
      <c r="C68" s="128" t="str">
        <f t="shared" si="17"/>
        <v/>
      </c>
      <c r="D68" s="129"/>
      <c r="E68" s="130" t="str">
        <f t="shared" si="18"/>
        <v>0059</v>
      </c>
      <c r="F68" s="131" t="str">
        <f t="shared" si="19"/>
        <v/>
      </c>
      <c r="G68" s="132"/>
      <c r="H68" s="133"/>
      <c r="I68" s="133"/>
      <c r="J68" s="133"/>
      <c r="K68" s="137"/>
      <c r="L68" s="137" t="s">
        <v>182</v>
      </c>
      <c r="M68" s="129"/>
      <c r="N68" s="129"/>
      <c r="O68" s="130" t="str">
        <f t="shared" si="20"/>
        <v/>
      </c>
      <c r="P68" s="138"/>
      <c r="Q68" s="129"/>
      <c r="R68" s="129"/>
      <c r="S68" s="129"/>
      <c r="T68" s="129"/>
      <c r="U68" s="129"/>
      <c r="V68" s="129"/>
      <c r="W68" s="140"/>
      <c r="X68" s="141"/>
      <c r="Y68" s="144"/>
      <c r="Z68" s="133"/>
      <c r="AA68" s="133"/>
      <c r="AB68" s="133"/>
      <c r="AC68" s="133"/>
      <c r="AD68" s="133"/>
      <c r="AE68" s="137" t="s">
        <v>183</v>
      </c>
      <c r="AF68" s="145"/>
      <c r="AG68" s="129"/>
      <c r="AH68" s="129"/>
      <c r="AI68" s="129"/>
      <c r="AJ68" s="129"/>
      <c r="AK68" s="146"/>
      <c r="AL68" s="129"/>
      <c r="AM68" s="147"/>
      <c r="AN68" s="147"/>
      <c r="AO68" s="147" t="s">
        <v>113</v>
      </c>
      <c r="AP68" s="129"/>
      <c r="AQ68" s="129"/>
      <c r="AR68" s="140"/>
      <c r="AS68" s="140"/>
      <c r="AT68" s="150"/>
      <c r="AU68" s="144"/>
      <c r="AV68" s="133"/>
      <c r="AW68" s="133"/>
      <c r="AX68" s="140"/>
      <c r="AY68" s="141"/>
      <c r="AZ68" s="156"/>
      <c r="BA68" s="159"/>
      <c r="BB68" s="158" t="s">
        <v>102</v>
      </c>
    </row>
    <row r="69" spans="1:54" ht="81.75" customHeight="1" x14ac:dyDescent="0.15">
      <c r="A69" s="126">
        <f t="shared" si="6"/>
        <v>60</v>
      </c>
      <c r="B69" s="127"/>
      <c r="C69" s="128" t="str">
        <f t="shared" si="17"/>
        <v/>
      </c>
      <c r="D69" s="129"/>
      <c r="E69" s="130" t="str">
        <f t="shared" si="18"/>
        <v>0060</v>
      </c>
      <c r="F69" s="131" t="str">
        <f t="shared" si="19"/>
        <v/>
      </c>
      <c r="G69" s="132"/>
      <c r="H69" s="133"/>
      <c r="I69" s="133"/>
      <c r="J69" s="133"/>
      <c r="K69" s="137"/>
      <c r="L69" s="137" t="s">
        <v>182</v>
      </c>
      <c r="M69" s="129"/>
      <c r="N69" s="129"/>
      <c r="O69" s="130" t="str">
        <f t="shared" si="20"/>
        <v/>
      </c>
      <c r="P69" s="138"/>
      <c r="Q69" s="129"/>
      <c r="R69" s="129"/>
      <c r="S69" s="129"/>
      <c r="T69" s="129"/>
      <c r="U69" s="129"/>
      <c r="V69" s="129"/>
      <c r="W69" s="140"/>
      <c r="X69" s="141"/>
      <c r="Y69" s="144"/>
      <c r="Z69" s="133"/>
      <c r="AA69" s="133"/>
      <c r="AB69" s="133"/>
      <c r="AC69" s="133"/>
      <c r="AD69" s="133"/>
      <c r="AE69" s="137" t="s">
        <v>183</v>
      </c>
      <c r="AF69" s="145"/>
      <c r="AG69" s="129"/>
      <c r="AH69" s="129"/>
      <c r="AI69" s="129"/>
      <c r="AJ69" s="129"/>
      <c r="AK69" s="146"/>
      <c r="AL69" s="129"/>
      <c r="AM69" s="147"/>
      <c r="AN69" s="147"/>
      <c r="AO69" s="147"/>
      <c r="AP69" s="129"/>
      <c r="AQ69" s="129"/>
      <c r="AR69" s="140"/>
      <c r="AS69" s="140"/>
      <c r="AT69" s="150"/>
      <c r="AU69" s="144"/>
      <c r="AV69" s="133"/>
      <c r="AW69" s="133"/>
      <c r="AX69" s="140"/>
      <c r="AY69" s="141"/>
      <c r="AZ69" s="156"/>
      <c r="BA69" s="159"/>
      <c r="BB69" s="158" t="s">
        <v>102</v>
      </c>
    </row>
    <row r="70" spans="1:54" ht="81.75" customHeight="1" x14ac:dyDescent="0.15">
      <c r="A70" s="126">
        <f t="shared" si="6"/>
        <v>61</v>
      </c>
      <c r="B70" s="127"/>
      <c r="C70" s="128" t="str">
        <f t="shared" si="17"/>
        <v/>
      </c>
      <c r="D70" s="129"/>
      <c r="E70" s="130" t="str">
        <f t="shared" si="18"/>
        <v>0061</v>
      </c>
      <c r="F70" s="131" t="str">
        <f t="shared" si="19"/>
        <v/>
      </c>
      <c r="G70" s="132"/>
      <c r="H70" s="133"/>
      <c r="I70" s="133"/>
      <c r="J70" s="133"/>
      <c r="K70" s="137"/>
      <c r="L70" s="137" t="s">
        <v>182</v>
      </c>
      <c r="M70" s="129"/>
      <c r="N70" s="129"/>
      <c r="O70" s="130" t="str">
        <f t="shared" si="20"/>
        <v/>
      </c>
      <c r="P70" s="138"/>
      <c r="Q70" s="129"/>
      <c r="R70" s="129"/>
      <c r="S70" s="129"/>
      <c r="T70" s="129"/>
      <c r="U70" s="129"/>
      <c r="V70" s="129"/>
      <c r="W70" s="140"/>
      <c r="X70" s="141"/>
      <c r="Y70" s="144"/>
      <c r="Z70" s="133"/>
      <c r="AA70" s="133"/>
      <c r="AB70" s="133"/>
      <c r="AC70" s="133"/>
      <c r="AD70" s="133"/>
      <c r="AE70" s="137" t="s">
        <v>183</v>
      </c>
      <c r="AF70" s="145"/>
      <c r="AG70" s="129"/>
      <c r="AH70" s="129"/>
      <c r="AI70" s="129"/>
      <c r="AJ70" s="129"/>
      <c r="AK70" s="146"/>
      <c r="AL70" s="129"/>
      <c r="AM70" s="147"/>
      <c r="AN70" s="147"/>
      <c r="AO70" s="147" t="s">
        <v>113</v>
      </c>
      <c r="AP70" s="129"/>
      <c r="AQ70" s="129"/>
      <c r="AR70" s="140"/>
      <c r="AS70" s="140"/>
      <c r="AT70" s="150"/>
      <c r="AU70" s="144"/>
      <c r="AV70" s="133"/>
      <c r="AW70" s="133"/>
      <c r="AX70" s="140"/>
      <c r="AY70" s="141"/>
      <c r="AZ70" s="156"/>
      <c r="BA70" s="159"/>
      <c r="BB70" s="158" t="s">
        <v>102</v>
      </c>
    </row>
    <row r="71" spans="1:54" ht="81.75" customHeight="1" x14ac:dyDescent="0.15">
      <c r="A71" s="126">
        <f t="shared" si="6"/>
        <v>62</v>
      </c>
      <c r="B71" s="127"/>
      <c r="C71" s="128" t="str">
        <f t="shared" si="17"/>
        <v/>
      </c>
      <c r="D71" s="129"/>
      <c r="E71" s="130" t="str">
        <f t="shared" si="18"/>
        <v>0062</v>
      </c>
      <c r="F71" s="131" t="str">
        <f t="shared" si="19"/>
        <v/>
      </c>
      <c r="G71" s="132"/>
      <c r="H71" s="133"/>
      <c r="I71" s="133"/>
      <c r="J71" s="133"/>
      <c r="K71" s="137"/>
      <c r="L71" s="137" t="s">
        <v>182</v>
      </c>
      <c r="M71" s="129"/>
      <c r="N71" s="129"/>
      <c r="O71" s="130" t="str">
        <f t="shared" si="20"/>
        <v/>
      </c>
      <c r="P71" s="138"/>
      <c r="Q71" s="129"/>
      <c r="R71" s="129"/>
      <c r="S71" s="129"/>
      <c r="T71" s="129"/>
      <c r="U71" s="129"/>
      <c r="V71" s="129"/>
      <c r="W71" s="140"/>
      <c r="X71" s="141"/>
      <c r="Y71" s="144"/>
      <c r="Z71" s="133"/>
      <c r="AA71" s="133"/>
      <c r="AB71" s="133"/>
      <c r="AC71" s="133"/>
      <c r="AD71" s="133"/>
      <c r="AE71" s="137" t="s">
        <v>183</v>
      </c>
      <c r="AF71" s="145"/>
      <c r="AG71" s="129"/>
      <c r="AH71" s="129"/>
      <c r="AI71" s="129"/>
      <c r="AJ71" s="129"/>
      <c r="AK71" s="146"/>
      <c r="AL71" s="129"/>
      <c r="AM71" s="147"/>
      <c r="AN71" s="147"/>
      <c r="AO71" s="147"/>
      <c r="AP71" s="129"/>
      <c r="AQ71" s="129"/>
      <c r="AR71" s="140"/>
      <c r="AS71" s="140"/>
      <c r="AT71" s="150"/>
      <c r="AU71" s="144"/>
      <c r="AV71" s="133"/>
      <c r="AW71" s="133"/>
      <c r="AX71" s="140"/>
      <c r="AY71" s="141"/>
      <c r="AZ71" s="156"/>
      <c r="BA71" s="159"/>
      <c r="BB71" s="158" t="s">
        <v>102</v>
      </c>
    </row>
    <row r="72" spans="1:54" ht="81.75" customHeight="1" x14ac:dyDescent="0.15">
      <c r="A72" s="126">
        <f t="shared" si="6"/>
        <v>63</v>
      </c>
      <c r="B72" s="127"/>
      <c r="C72" s="128" t="str">
        <f t="shared" si="17"/>
        <v/>
      </c>
      <c r="D72" s="129"/>
      <c r="E72" s="130" t="str">
        <f t="shared" si="18"/>
        <v>0063</v>
      </c>
      <c r="F72" s="131" t="str">
        <f t="shared" si="19"/>
        <v/>
      </c>
      <c r="G72" s="132"/>
      <c r="H72" s="133"/>
      <c r="I72" s="133"/>
      <c r="J72" s="133"/>
      <c r="K72" s="137"/>
      <c r="L72" s="137" t="s">
        <v>182</v>
      </c>
      <c r="M72" s="129"/>
      <c r="N72" s="129"/>
      <c r="O72" s="130" t="str">
        <f t="shared" si="20"/>
        <v/>
      </c>
      <c r="P72" s="138"/>
      <c r="Q72" s="129"/>
      <c r="R72" s="129"/>
      <c r="S72" s="129"/>
      <c r="T72" s="129"/>
      <c r="U72" s="129"/>
      <c r="V72" s="129"/>
      <c r="W72" s="140"/>
      <c r="X72" s="141"/>
      <c r="Y72" s="144"/>
      <c r="Z72" s="133"/>
      <c r="AA72" s="133"/>
      <c r="AB72" s="133"/>
      <c r="AC72" s="133"/>
      <c r="AD72" s="133"/>
      <c r="AE72" s="137" t="s">
        <v>183</v>
      </c>
      <c r="AF72" s="145"/>
      <c r="AG72" s="129"/>
      <c r="AH72" s="129"/>
      <c r="AI72" s="129"/>
      <c r="AJ72" s="129"/>
      <c r="AK72" s="146"/>
      <c r="AL72" s="129"/>
      <c r="AM72" s="147"/>
      <c r="AN72" s="147"/>
      <c r="AO72" s="147" t="s">
        <v>113</v>
      </c>
      <c r="AP72" s="129"/>
      <c r="AQ72" s="129"/>
      <c r="AR72" s="140"/>
      <c r="AS72" s="140"/>
      <c r="AT72" s="150"/>
      <c r="AU72" s="144"/>
      <c r="AV72" s="133"/>
      <c r="AW72" s="133"/>
      <c r="AX72" s="140"/>
      <c r="AY72" s="141"/>
      <c r="AZ72" s="156"/>
      <c r="BA72" s="159"/>
      <c r="BB72" s="158" t="s">
        <v>102</v>
      </c>
    </row>
    <row r="73" spans="1:54" ht="81.75" customHeight="1" x14ac:dyDescent="0.15">
      <c r="A73" s="126">
        <f t="shared" si="6"/>
        <v>64</v>
      </c>
      <c r="B73" s="127"/>
      <c r="C73" s="128" t="str">
        <f t="shared" si="17"/>
        <v/>
      </c>
      <c r="D73" s="129"/>
      <c r="E73" s="130" t="str">
        <f t="shared" si="18"/>
        <v>0064</v>
      </c>
      <c r="F73" s="131" t="str">
        <f t="shared" si="19"/>
        <v/>
      </c>
      <c r="G73" s="132"/>
      <c r="H73" s="133"/>
      <c r="I73" s="133"/>
      <c r="J73" s="133"/>
      <c r="K73" s="137"/>
      <c r="L73" s="137" t="s">
        <v>182</v>
      </c>
      <c r="M73" s="129"/>
      <c r="N73" s="129"/>
      <c r="O73" s="130" t="str">
        <f t="shared" si="20"/>
        <v/>
      </c>
      <c r="P73" s="138"/>
      <c r="Q73" s="129"/>
      <c r="R73" s="129"/>
      <c r="S73" s="129"/>
      <c r="T73" s="129"/>
      <c r="U73" s="129"/>
      <c r="V73" s="129"/>
      <c r="W73" s="140"/>
      <c r="X73" s="141"/>
      <c r="Y73" s="144"/>
      <c r="Z73" s="133"/>
      <c r="AA73" s="133"/>
      <c r="AB73" s="133"/>
      <c r="AC73" s="133"/>
      <c r="AD73" s="133"/>
      <c r="AE73" s="137" t="s">
        <v>183</v>
      </c>
      <c r="AF73" s="145"/>
      <c r="AG73" s="129"/>
      <c r="AH73" s="129"/>
      <c r="AI73" s="129"/>
      <c r="AJ73" s="129"/>
      <c r="AK73" s="146"/>
      <c r="AL73" s="129"/>
      <c r="AM73" s="147"/>
      <c r="AN73" s="147"/>
      <c r="AO73" s="147"/>
      <c r="AP73" s="129"/>
      <c r="AQ73" s="129"/>
      <c r="AR73" s="140"/>
      <c r="AS73" s="140"/>
      <c r="AT73" s="150"/>
      <c r="AU73" s="144"/>
      <c r="AV73" s="133"/>
      <c r="AW73" s="133"/>
      <c r="AX73" s="140"/>
      <c r="AY73" s="141"/>
      <c r="AZ73" s="156"/>
      <c r="BA73" s="159"/>
      <c r="BB73" s="158" t="s">
        <v>102</v>
      </c>
    </row>
    <row r="74" spans="1:54" ht="81.75" customHeight="1" x14ac:dyDescent="0.15">
      <c r="A74" s="126">
        <f t="shared" si="6"/>
        <v>65</v>
      </c>
      <c r="B74" s="127"/>
      <c r="C74" s="128" t="str">
        <f t="shared" si="17"/>
        <v/>
      </c>
      <c r="D74" s="129"/>
      <c r="E74" s="130" t="str">
        <f t="shared" si="18"/>
        <v>0065</v>
      </c>
      <c r="F74" s="131" t="str">
        <f t="shared" si="19"/>
        <v/>
      </c>
      <c r="G74" s="132"/>
      <c r="H74" s="133"/>
      <c r="I74" s="133"/>
      <c r="J74" s="133"/>
      <c r="K74" s="137"/>
      <c r="L74" s="137" t="s">
        <v>182</v>
      </c>
      <c r="M74" s="129"/>
      <c r="N74" s="129"/>
      <c r="O74" s="130" t="str">
        <f t="shared" si="20"/>
        <v/>
      </c>
      <c r="P74" s="138"/>
      <c r="Q74" s="129"/>
      <c r="R74" s="129"/>
      <c r="S74" s="129"/>
      <c r="T74" s="129"/>
      <c r="U74" s="129"/>
      <c r="V74" s="129"/>
      <c r="W74" s="140"/>
      <c r="X74" s="141"/>
      <c r="Y74" s="144"/>
      <c r="Z74" s="133"/>
      <c r="AA74" s="133"/>
      <c r="AB74" s="133"/>
      <c r="AC74" s="133"/>
      <c r="AD74" s="133"/>
      <c r="AE74" s="137" t="s">
        <v>183</v>
      </c>
      <c r="AF74" s="145"/>
      <c r="AG74" s="129"/>
      <c r="AH74" s="129"/>
      <c r="AI74" s="129"/>
      <c r="AJ74" s="129"/>
      <c r="AK74" s="146"/>
      <c r="AL74" s="129"/>
      <c r="AM74" s="147"/>
      <c r="AN74" s="147"/>
      <c r="AO74" s="147" t="s">
        <v>113</v>
      </c>
      <c r="AP74" s="129"/>
      <c r="AQ74" s="129"/>
      <c r="AR74" s="140"/>
      <c r="AS74" s="140"/>
      <c r="AT74" s="150"/>
      <c r="AU74" s="144"/>
      <c r="AV74" s="133"/>
      <c r="AW74" s="133"/>
      <c r="AX74" s="140"/>
      <c r="AY74" s="141"/>
      <c r="AZ74" s="156"/>
      <c r="BA74" s="159"/>
      <c r="BB74" s="158" t="s">
        <v>102</v>
      </c>
    </row>
    <row r="75" spans="1:54" ht="81.75" customHeight="1" x14ac:dyDescent="0.15">
      <c r="A75" s="126">
        <f t="shared" ref="A75:A95" si="21">ROW()-9</f>
        <v>66</v>
      </c>
      <c r="B75" s="127"/>
      <c r="C75" s="128" t="str">
        <f t="shared" si="17"/>
        <v/>
      </c>
      <c r="D75" s="129"/>
      <c r="E75" s="130" t="str">
        <f t="shared" si="18"/>
        <v>0066</v>
      </c>
      <c r="F75" s="131" t="str">
        <f t="shared" si="19"/>
        <v/>
      </c>
      <c r="G75" s="132"/>
      <c r="H75" s="133"/>
      <c r="I75" s="133"/>
      <c r="J75" s="133"/>
      <c r="K75" s="137"/>
      <c r="L75" s="137" t="s">
        <v>182</v>
      </c>
      <c r="M75" s="129"/>
      <c r="N75" s="129"/>
      <c r="O75" s="130" t="str">
        <f t="shared" si="20"/>
        <v/>
      </c>
      <c r="P75" s="138"/>
      <c r="Q75" s="129"/>
      <c r="R75" s="129"/>
      <c r="S75" s="129"/>
      <c r="T75" s="129"/>
      <c r="U75" s="129"/>
      <c r="V75" s="129"/>
      <c r="W75" s="140"/>
      <c r="X75" s="141"/>
      <c r="Y75" s="144"/>
      <c r="Z75" s="133"/>
      <c r="AA75" s="133"/>
      <c r="AB75" s="133"/>
      <c r="AC75" s="133"/>
      <c r="AD75" s="133"/>
      <c r="AE75" s="137" t="s">
        <v>183</v>
      </c>
      <c r="AF75" s="145"/>
      <c r="AG75" s="129"/>
      <c r="AH75" s="129"/>
      <c r="AI75" s="129"/>
      <c r="AJ75" s="129"/>
      <c r="AK75" s="146"/>
      <c r="AL75" s="129"/>
      <c r="AM75" s="147"/>
      <c r="AN75" s="147"/>
      <c r="AO75" s="147"/>
      <c r="AP75" s="129"/>
      <c r="AQ75" s="129"/>
      <c r="AR75" s="140"/>
      <c r="AS75" s="140"/>
      <c r="AT75" s="150"/>
      <c r="AU75" s="144"/>
      <c r="AV75" s="133"/>
      <c r="AW75" s="133"/>
      <c r="AX75" s="140"/>
      <c r="AY75" s="141"/>
      <c r="AZ75" s="156"/>
      <c r="BA75" s="159"/>
      <c r="BB75" s="158" t="s">
        <v>102</v>
      </c>
    </row>
    <row r="76" spans="1:54" ht="81.75" customHeight="1" x14ac:dyDescent="0.15">
      <c r="A76" s="126">
        <f t="shared" si="21"/>
        <v>67</v>
      </c>
      <c r="B76" s="127"/>
      <c r="C76" s="128" t="str">
        <f t="shared" ref="C76:C85" si="22">IF(AND(H76&lt;&gt;"",AW76&lt;&gt;""),"検証完了",IF(AND(H76&lt;&gt;"",AB76&lt;&gt;""),"修正完了",IF(AND(H76&lt;&gt;"",Z76&lt;&gt;""),"対応中",IF(H76&lt;&gt;"","未着手",""))))</f>
        <v/>
      </c>
      <c r="D76" s="129"/>
      <c r="E76" s="130" t="str">
        <f t="shared" ref="E76:E85" si="23">TEXT(A76,"0000")</f>
        <v>0067</v>
      </c>
      <c r="F76" s="131" t="str">
        <f t="shared" ref="F76:F85" si="24">IF(D76="","",CONCATENATE(D76,"-",E76))</f>
        <v/>
      </c>
      <c r="G76" s="132"/>
      <c r="H76" s="133"/>
      <c r="I76" s="133"/>
      <c r="J76" s="133"/>
      <c r="K76" s="137"/>
      <c r="L76" s="137" t="s">
        <v>182</v>
      </c>
      <c r="M76" s="129"/>
      <c r="N76" s="129"/>
      <c r="O76" s="130" t="str">
        <f t="shared" ref="O76:O85" si="25">IF(AND(M76&lt;&gt;"",N76&lt;&gt;""),CONCATENATE(M76,"-",N76),"")</f>
        <v/>
      </c>
      <c r="P76" s="138"/>
      <c r="Q76" s="129"/>
      <c r="R76" s="129"/>
      <c r="S76" s="129"/>
      <c r="T76" s="129"/>
      <c r="U76" s="129"/>
      <c r="V76" s="129"/>
      <c r="W76" s="140"/>
      <c r="X76" s="141"/>
      <c r="Y76" s="144"/>
      <c r="Z76" s="133"/>
      <c r="AA76" s="133"/>
      <c r="AB76" s="133"/>
      <c r="AC76" s="133"/>
      <c r="AD76" s="133"/>
      <c r="AE76" s="137" t="s">
        <v>183</v>
      </c>
      <c r="AF76" s="145"/>
      <c r="AG76" s="129"/>
      <c r="AH76" s="129"/>
      <c r="AI76" s="129"/>
      <c r="AJ76" s="129"/>
      <c r="AK76" s="146"/>
      <c r="AL76" s="129"/>
      <c r="AM76" s="147"/>
      <c r="AN76" s="147"/>
      <c r="AO76" s="147" t="s">
        <v>113</v>
      </c>
      <c r="AP76" s="129"/>
      <c r="AQ76" s="129"/>
      <c r="AR76" s="140"/>
      <c r="AS76" s="140"/>
      <c r="AT76" s="150"/>
      <c r="AU76" s="144"/>
      <c r="AV76" s="133"/>
      <c r="AW76" s="133"/>
      <c r="AX76" s="140"/>
      <c r="AY76" s="141"/>
      <c r="AZ76" s="156"/>
      <c r="BA76" s="159"/>
      <c r="BB76" s="158" t="s">
        <v>102</v>
      </c>
    </row>
    <row r="77" spans="1:54" ht="81.75" customHeight="1" x14ac:dyDescent="0.15">
      <c r="A77" s="126">
        <f t="shared" si="21"/>
        <v>68</v>
      </c>
      <c r="B77" s="127"/>
      <c r="C77" s="128" t="str">
        <f t="shared" si="22"/>
        <v/>
      </c>
      <c r="D77" s="129"/>
      <c r="E77" s="130" t="str">
        <f t="shared" si="23"/>
        <v>0068</v>
      </c>
      <c r="F77" s="131" t="str">
        <f t="shared" si="24"/>
        <v/>
      </c>
      <c r="G77" s="132"/>
      <c r="H77" s="133"/>
      <c r="I77" s="133"/>
      <c r="J77" s="133"/>
      <c r="K77" s="137"/>
      <c r="L77" s="137" t="s">
        <v>182</v>
      </c>
      <c r="M77" s="129"/>
      <c r="N77" s="129"/>
      <c r="O77" s="130" t="str">
        <f t="shared" si="25"/>
        <v/>
      </c>
      <c r="P77" s="138"/>
      <c r="Q77" s="129"/>
      <c r="R77" s="129"/>
      <c r="S77" s="129"/>
      <c r="T77" s="129"/>
      <c r="U77" s="129"/>
      <c r="V77" s="129"/>
      <c r="W77" s="140"/>
      <c r="X77" s="141"/>
      <c r="Y77" s="144"/>
      <c r="Z77" s="133"/>
      <c r="AA77" s="133"/>
      <c r="AB77" s="133"/>
      <c r="AC77" s="133"/>
      <c r="AD77" s="133"/>
      <c r="AE77" s="137" t="s">
        <v>183</v>
      </c>
      <c r="AF77" s="145"/>
      <c r="AG77" s="129"/>
      <c r="AH77" s="129"/>
      <c r="AI77" s="129"/>
      <c r="AJ77" s="129"/>
      <c r="AK77" s="146"/>
      <c r="AL77" s="129"/>
      <c r="AM77" s="147"/>
      <c r="AN77" s="147"/>
      <c r="AO77" s="147"/>
      <c r="AP77" s="129"/>
      <c r="AQ77" s="129"/>
      <c r="AR77" s="140"/>
      <c r="AS77" s="140"/>
      <c r="AT77" s="150"/>
      <c r="AU77" s="144"/>
      <c r="AV77" s="133"/>
      <c r="AW77" s="133"/>
      <c r="AX77" s="140"/>
      <c r="AY77" s="141"/>
      <c r="AZ77" s="156"/>
      <c r="BA77" s="159"/>
      <c r="BB77" s="158" t="s">
        <v>102</v>
      </c>
    </row>
    <row r="78" spans="1:54" ht="81.75" customHeight="1" x14ac:dyDescent="0.15">
      <c r="A78" s="126">
        <f t="shared" si="21"/>
        <v>69</v>
      </c>
      <c r="B78" s="127"/>
      <c r="C78" s="128" t="str">
        <f t="shared" si="22"/>
        <v/>
      </c>
      <c r="D78" s="129"/>
      <c r="E78" s="130" t="str">
        <f t="shared" si="23"/>
        <v>0069</v>
      </c>
      <c r="F78" s="131" t="str">
        <f t="shared" si="24"/>
        <v/>
      </c>
      <c r="G78" s="132"/>
      <c r="H78" s="133"/>
      <c r="I78" s="133"/>
      <c r="J78" s="133"/>
      <c r="K78" s="137"/>
      <c r="L78" s="137" t="s">
        <v>182</v>
      </c>
      <c r="M78" s="129"/>
      <c r="N78" s="129"/>
      <c r="O78" s="130" t="str">
        <f t="shared" si="25"/>
        <v/>
      </c>
      <c r="P78" s="138"/>
      <c r="Q78" s="129"/>
      <c r="R78" s="129"/>
      <c r="S78" s="129"/>
      <c r="T78" s="129"/>
      <c r="U78" s="129"/>
      <c r="V78" s="129"/>
      <c r="W78" s="140"/>
      <c r="X78" s="141"/>
      <c r="Y78" s="144"/>
      <c r="Z78" s="133"/>
      <c r="AA78" s="133"/>
      <c r="AB78" s="133"/>
      <c r="AC78" s="133"/>
      <c r="AD78" s="133"/>
      <c r="AE78" s="137" t="s">
        <v>183</v>
      </c>
      <c r="AF78" s="145"/>
      <c r="AG78" s="129"/>
      <c r="AH78" s="129"/>
      <c r="AI78" s="129"/>
      <c r="AJ78" s="129"/>
      <c r="AK78" s="146"/>
      <c r="AL78" s="129"/>
      <c r="AM78" s="147"/>
      <c r="AN78" s="147"/>
      <c r="AO78" s="147" t="s">
        <v>113</v>
      </c>
      <c r="AP78" s="129"/>
      <c r="AQ78" s="129"/>
      <c r="AR78" s="140"/>
      <c r="AS78" s="140"/>
      <c r="AT78" s="150"/>
      <c r="AU78" s="144"/>
      <c r="AV78" s="133"/>
      <c r="AW78" s="133"/>
      <c r="AX78" s="140"/>
      <c r="AY78" s="141"/>
      <c r="AZ78" s="156"/>
      <c r="BA78" s="159"/>
      <c r="BB78" s="158" t="s">
        <v>102</v>
      </c>
    </row>
    <row r="79" spans="1:54" ht="81.75" customHeight="1" x14ac:dyDescent="0.15">
      <c r="A79" s="126">
        <f t="shared" si="21"/>
        <v>70</v>
      </c>
      <c r="B79" s="127"/>
      <c r="C79" s="128" t="str">
        <f t="shared" si="22"/>
        <v/>
      </c>
      <c r="D79" s="129"/>
      <c r="E79" s="130" t="str">
        <f t="shared" si="23"/>
        <v>0070</v>
      </c>
      <c r="F79" s="131" t="str">
        <f t="shared" si="24"/>
        <v/>
      </c>
      <c r="G79" s="132"/>
      <c r="H79" s="133"/>
      <c r="I79" s="133"/>
      <c r="J79" s="133"/>
      <c r="K79" s="137"/>
      <c r="L79" s="137" t="s">
        <v>182</v>
      </c>
      <c r="M79" s="129"/>
      <c r="N79" s="129"/>
      <c r="O79" s="130" t="str">
        <f t="shared" si="25"/>
        <v/>
      </c>
      <c r="P79" s="138"/>
      <c r="Q79" s="129"/>
      <c r="R79" s="129"/>
      <c r="S79" s="129"/>
      <c r="T79" s="129"/>
      <c r="U79" s="129"/>
      <c r="V79" s="129"/>
      <c r="W79" s="140"/>
      <c r="X79" s="141"/>
      <c r="Y79" s="144"/>
      <c r="Z79" s="133"/>
      <c r="AA79" s="133"/>
      <c r="AB79" s="133"/>
      <c r="AC79" s="133"/>
      <c r="AD79" s="133"/>
      <c r="AE79" s="137" t="s">
        <v>183</v>
      </c>
      <c r="AF79" s="145"/>
      <c r="AG79" s="129"/>
      <c r="AH79" s="129"/>
      <c r="AI79" s="129"/>
      <c r="AJ79" s="129"/>
      <c r="AK79" s="146"/>
      <c r="AL79" s="129"/>
      <c r="AM79" s="147"/>
      <c r="AN79" s="147"/>
      <c r="AO79" s="147"/>
      <c r="AP79" s="129"/>
      <c r="AQ79" s="129"/>
      <c r="AR79" s="140"/>
      <c r="AS79" s="140"/>
      <c r="AT79" s="150"/>
      <c r="AU79" s="144"/>
      <c r="AV79" s="133"/>
      <c r="AW79" s="133"/>
      <c r="AX79" s="140"/>
      <c r="AY79" s="141"/>
      <c r="AZ79" s="156"/>
      <c r="BA79" s="159"/>
      <c r="BB79" s="158" t="s">
        <v>102</v>
      </c>
    </row>
    <row r="80" spans="1:54" ht="81.75" customHeight="1" x14ac:dyDescent="0.15">
      <c r="A80" s="126">
        <f t="shared" si="21"/>
        <v>71</v>
      </c>
      <c r="B80" s="127"/>
      <c r="C80" s="128" t="str">
        <f t="shared" si="22"/>
        <v/>
      </c>
      <c r="D80" s="129"/>
      <c r="E80" s="130" t="str">
        <f t="shared" si="23"/>
        <v>0071</v>
      </c>
      <c r="F80" s="131" t="str">
        <f t="shared" si="24"/>
        <v/>
      </c>
      <c r="G80" s="132"/>
      <c r="H80" s="133"/>
      <c r="I80" s="133"/>
      <c r="J80" s="133"/>
      <c r="K80" s="137"/>
      <c r="L80" s="137" t="s">
        <v>182</v>
      </c>
      <c r="M80" s="129"/>
      <c r="N80" s="129"/>
      <c r="O80" s="130" t="str">
        <f t="shared" si="25"/>
        <v/>
      </c>
      <c r="P80" s="138"/>
      <c r="Q80" s="129"/>
      <c r="R80" s="129"/>
      <c r="S80" s="129"/>
      <c r="T80" s="129"/>
      <c r="U80" s="129"/>
      <c r="V80" s="129"/>
      <c r="W80" s="140"/>
      <c r="X80" s="141"/>
      <c r="Y80" s="144"/>
      <c r="Z80" s="133"/>
      <c r="AA80" s="133"/>
      <c r="AB80" s="133"/>
      <c r="AC80" s="133"/>
      <c r="AD80" s="133"/>
      <c r="AE80" s="137" t="s">
        <v>183</v>
      </c>
      <c r="AF80" s="145"/>
      <c r="AG80" s="129"/>
      <c r="AH80" s="129"/>
      <c r="AI80" s="129"/>
      <c r="AJ80" s="129"/>
      <c r="AK80" s="146"/>
      <c r="AL80" s="129"/>
      <c r="AM80" s="147"/>
      <c r="AN80" s="147"/>
      <c r="AO80" s="147" t="s">
        <v>113</v>
      </c>
      <c r="AP80" s="129"/>
      <c r="AQ80" s="129"/>
      <c r="AR80" s="140"/>
      <c r="AS80" s="140"/>
      <c r="AT80" s="150"/>
      <c r="AU80" s="144"/>
      <c r="AV80" s="133"/>
      <c r="AW80" s="133"/>
      <c r="AX80" s="140"/>
      <c r="AY80" s="141"/>
      <c r="AZ80" s="156"/>
      <c r="BA80" s="159"/>
      <c r="BB80" s="158" t="s">
        <v>102</v>
      </c>
    </row>
    <row r="81" spans="1:54" ht="81.75" customHeight="1" x14ac:dyDescent="0.15">
      <c r="A81" s="126">
        <f t="shared" si="21"/>
        <v>72</v>
      </c>
      <c r="B81" s="127"/>
      <c r="C81" s="128" t="str">
        <f t="shared" si="22"/>
        <v/>
      </c>
      <c r="D81" s="129"/>
      <c r="E81" s="130" t="str">
        <f t="shared" si="23"/>
        <v>0072</v>
      </c>
      <c r="F81" s="131" t="str">
        <f t="shared" si="24"/>
        <v/>
      </c>
      <c r="G81" s="132"/>
      <c r="H81" s="133"/>
      <c r="I81" s="133"/>
      <c r="J81" s="133"/>
      <c r="K81" s="137"/>
      <c r="L81" s="137" t="s">
        <v>182</v>
      </c>
      <c r="M81" s="129"/>
      <c r="N81" s="129"/>
      <c r="O81" s="130" t="str">
        <f t="shared" si="25"/>
        <v/>
      </c>
      <c r="P81" s="138"/>
      <c r="Q81" s="129"/>
      <c r="R81" s="129"/>
      <c r="S81" s="129"/>
      <c r="T81" s="129"/>
      <c r="U81" s="129"/>
      <c r="V81" s="129"/>
      <c r="W81" s="140"/>
      <c r="X81" s="141"/>
      <c r="Y81" s="144"/>
      <c r="Z81" s="133"/>
      <c r="AA81" s="133"/>
      <c r="AB81" s="133"/>
      <c r="AC81" s="133"/>
      <c r="AD81" s="133"/>
      <c r="AE81" s="137" t="s">
        <v>183</v>
      </c>
      <c r="AF81" s="145"/>
      <c r="AG81" s="129"/>
      <c r="AH81" s="129"/>
      <c r="AI81" s="129"/>
      <c r="AJ81" s="129"/>
      <c r="AK81" s="146"/>
      <c r="AL81" s="129"/>
      <c r="AM81" s="147"/>
      <c r="AN81" s="147"/>
      <c r="AO81" s="147"/>
      <c r="AP81" s="129"/>
      <c r="AQ81" s="129"/>
      <c r="AR81" s="140"/>
      <c r="AS81" s="140"/>
      <c r="AT81" s="150"/>
      <c r="AU81" s="144"/>
      <c r="AV81" s="133"/>
      <c r="AW81" s="133"/>
      <c r="AX81" s="140"/>
      <c r="AY81" s="141"/>
      <c r="AZ81" s="156"/>
      <c r="BA81" s="159"/>
      <c r="BB81" s="158" t="s">
        <v>102</v>
      </c>
    </row>
    <row r="82" spans="1:54" ht="81.75" customHeight="1" x14ac:dyDescent="0.15">
      <c r="A82" s="126">
        <f t="shared" si="21"/>
        <v>73</v>
      </c>
      <c r="B82" s="127"/>
      <c r="C82" s="128" t="str">
        <f t="shared" si="22"/>
        <v/>
      </c>
      <c r="D82" s="129"/>
      <c r="E82" s="130" t="str">
        <f t="shared" si="23"/>
        <v>0073</v>
      </c>
      <c r="F82" s="131" t="str">
        <f t="shared" si="24"/>
        <v/>
      </c>
      <c r="G82" s="132"/>
      <c r="H82" s="133"/>
      <c r="I82" s="133"/>
      <c r="J82" s="133"/>
      <c r="K82" s="137"/>
      <c r="L82" s="137" t="s">
        <v>182</v>
      </c>
      <c r="M82" s="129"/>
      <c r="N82" s="129"/>
      <c r="O82" s="130" t="str">
        <f t="shared" si="25"/>
        <v/>
      </c>
      <c r="P82" s="138"/>
      <c r="Q82" s="129"/>
      <c r="R82" s="129"/>
      <c r="S82" s="129"/>
      <c r="T82" s="129"/>
      <c r="U82" s="129"/>
      <c r="V82" s="129"/>
      <c r="W82" s="140"/>
      <c r="X82" s="141"/>
      <c r="Y82" s="144"/>
      <c r="Z82" s="133"/>
      <c r="AA82" s="133"/>
      <c r="AB82" s="133"/>
      <c r="AC82" s="133"/>
      <c r="AD82" s="133"/>
      <c r="AE82" s="137" t="s">
        <v>183</v>
      </c>
      <c r="AF82" s="145"/>
      <c r="AG82" s="129"/>
      <c r="AH82" s="129"/>
      <c r="AI82" s="129"/>
      <c r="AJ82" s="129"/>
      <c r="AK82" s="146"/>
      <c r="AL82" s="129"/>
      <c r="AM82" s="147"/>
      <c r="AN82" s="147"/>
      <c r="AO82" s="147" t="s">
        <v>113</v>
      </c>
      <c r="AP82" s="129"/>
      <c r="AQ82" s="129"/>
      <c r="AR82" s="140"/>
      <c r="AS82" s="140"/>
      <c r="AT82" s="150"/>
      <c r="AU82" s="144"/>
      <c r="AV82" s="133"/>
      <c r="AW82" s="133"/>
      <c r="AX82" s="140"/>
      <c r="AY82" s="141"/>
      <c r="AZ82" s="156"/>
      <c r="BA82" s="159"/>
      <c r="BB82" s="158" t="s">
        <v>102</v>
      </c>
    </row>
    <row r="83" spans="1:54" ht="81.75" customHeight="1" x14ac:dyDescent="0.15">
      <c r="A83" s="126">
        <f t="shared" si="21"/>
        <v>74</v>
      </c>
      <c r="B83" s="127"/>
      <c r="C83" s="128" t="str">
        <f t="shared" si="22"/>
        <v/>
      </c>
      <c r="D83" s="129"/>
      <c r="E83" s="130" t="str">
        <f t="shared" si="23"/>
        <v>0074</v>
      </c>
      <c r="F83" s="131" t="str">
        <f t="shared" si="24"/>
        <v/>
      </c>
      <c r="G83" s="132"/>
      <c r="H83" s="133"/>
      <c r="I83" s="133"/>
      <c r="J83" s="133"/>
      <c r="K83" s="137"/>
      <c r="L83" s="137" t="s">
        <v>182</v>
      </c>
      <c r="M83" s="129"/>
      <c r="N83" s="129"/>
      <c r="O83" s="130" t="str">
        <f t="shared" si="25"/>
        <v/>
      </c>
      <c r="P83" s="138"/>
      <c r="Q83" s="129"/>
      <c r="R83" s="129"/>
      <c r="S83" s="129"/>
      <c r="T83" s="129"/>
      <c r="U83" s="129"/>
      <c r="V83" s="129"/>
      <c r="W83" s="140"/>
      <c r="X83" s="141"/>
      <c r="Y83" s="144"/>
      <c r="Z83" s="133"/>
      <c r="AA83" s="133"/>
      <c r="AB83" s="133"/>
      <c r="AC83" s="133"/>
      <c r="AD83" s="133"/>
      <c r="AE83" s="137" t="s">
        <v>183</v>
      </c>
      <c r="AF83" s="145"/>
      <c r="AG83" s="129"/>
      <c r="AH83" s="129"/>
      <c r="AI83" s="129"/>
      <c r="AJ83" s="129"/>
      <c r="AK83" s="146"/>
      <c r="AL83" s="129"/>
      <c r="AM83" s="147"/>
      <c r="AN83" s="147"/>
      <c r="AO83" s="147"/>
      <c r="AP83" s="129"/>
      <c r="AQ83" s="129"/>
      <c r="AR83" s="140"/>
      <c r="AS83" s="140"/>
      <c r="AT83" s="150"/>
      <c r="AU83" s="144"/>
      <c r="AV83" s="133"/>
      <c r="AW83" s="133"/>
      <c r="AX83" s="140"/>
      <c r="AY83" s="141"/>
      <c r="AZ83" s="156"/>
      <c r="BA83" s="159"/>
      <c r="BB83" s="158" t="s">
        <v>102</v>
      </c>
    </row>
    <row r="84" spans="1:54" ht="81.75" customHeight="1" x14ac:dyDescent="0.15">
      <c r="A84" s="126">
        <f t="shared" si="21"/>
        <v>75</v>
      </c>
      <c r="B84" s="127"/>
      <c r="C84" s="128" t="str">
        <f t="shared" si="22"/>
        <v/>
      </c>
      <c r="D84" s="129"/>
      <c r="E84" s="130" t="str">
        <f t="shared" si="23"/>
        <v>0075</v>
      </c>
      <c r="F84" s="131" t="str">
        <f t="shared" si="24"/>
        <v/>
      </c>
      <c r="G84" s="132"/>
      <c r="H84" s="133"/>
      <c r="I84" s="133"/>
      <c r="J84" s="133"/>
      <c r="K84" s="137"/>
      <c r="L84" s="137" t="s">
        <v>182</v>
      </c>
      <c r="M84" s="129"/>
      <c r="N84" s="129"/>
      <c r="O84" s="130" t="str">
        <f t="shared" si="25"/>
        <v/>
      </c>
      <c r="P84" s="138"/>
      <c r="Q84" s="129"/>
      <c r="R84" s="129"/>
      <c r="S84" s="129"/>
      <c r="T84" s="129"/>
      <c r="U84" s="129"/>
      <c r="V84" s="129"/>
      <c r="W84" s="140"/>
      <c r="X84" s="141"/>
      <c r="Y84" s="144"/>
      <c r="Z84" s="133"/>
      <c r="AA84" s="133"/>
      <c r="AB84" s="133"/>
      <c r="AC84" s="133"/>
      <c r="AD84" s="133"/>
      <c r="AE84" s="137" t="s">
        <v>183</v>
      </c>
      <c r="AF84" s="145"/>
      <c r="AG84" s="129"/>
      <c r="AH84" s="129"/>
      <c r="AI84" s="129"/>
      <c r="AJ84" s="129"/>
      <c r="AK84" s="146"/>
      <c r="AL84" s="129"/>
      <c r="AM84" s="147"/>
      <c r="AN84" s="147"/>
      <c r="AO84" s="147" t="s">
        <v>113</v>
      </c>
      <c r="AP84" s="129"/>
      <c r="AQ84" s="129"/>
      <c r="AR84" s="140"/>
      <c r="AS84" s="140"/>
      <c r="AT84" s="150"/>
      <c r="AU84" s="144"/>
      <c r="AV84" s="133"/>
      <c r="AW84" s="133"/>
      <c r="AX84" s="140"/>
      <c r="AY84" s="141"/>
      <c r="AZ84" s="156"/>
      <c r="BA84" s="159"/>
      <c r="BB84" s="158" t="s">
        <v>102</v>
      </c>
    </row>
    <row r="85" spans="1:54" ht="81.75" customHeight="1" x14ac:dyDescent="0.15">
      <c r="A85" s="126">
        <f t="shared" si="21"/>
        <v>76</v>
      </c>
      <c r="B85" s="127"/>
      <c r="C85" s="128" t="str">
        <f t="shared" si="22"/>
        <v/>
      </c>
      <c r="D85" s="129"/>
      <c r="E85" s="130" t="str">
        <f t="shared" si="23"/>
        <v>0076</v>
      </c>
      <c r="F85" s="131" t="str">
        <f t="shared" si="24"/>
        <v/>
      </c>
      <c r="G85" s="132"/>
      <c r="H85" s="133"/>
      <c r="I85" s="133"/>
      <c r="J85" s="133"/>
      <c r="K85" s="137"/>
      <c r="L85" s="137" t="s">
        <v>182</v>
      </c>
      <c r="M85" s="129"/>
      <c r="N85" s="129"/>
      <c r="O85" s="130" t="str">
        <f t="shared" si="25"/>
        <v/>
      </c>
      <c r="P85" s="138"/>
      <c r="Q85" s="129"/>
      <c r="R85" s="129"/>
      <c r="S85" s="129"/>
      <c r="T85" s="129"/>
      <c r="U85" s="129"/>
      <c r="V85" s="129"/>
      <c r="W85" s="140"/>
      <c r="X85" s="141"/>
      <c r="Y85" s="144"/>
      <c r="Z85" s="133"/>
      <c r="AA85" s="133"/>
      <c r="AB85" s="133"/>
      <c r="AC85" s="133"/>
      <c r="AD85" s="133"/>
      <c r="AE85" s="137" t="s">
        <v>183</v>
      </c>
      <c r="AF85" s="145"/>
      <c r="AG85" s="129"/>
      <c r="AH85" s="129"/>
      <c r="AI85" s="129"/>
      <c r="AJ85" s="129"/>
      <c r="AK85" s="146"/>
      <c r="AL85" s="129"/>
      <c r="AM85" s="147"/>
      <c r="AN85" s="147"/>
      <c r="AO85" s="147"/>
      <c r="AP85" s="129"/>
      <c r="AQ85" s="129"/>
      <c r="AR85" s="140"/>
      <c r="AS85" s="140"/>
      <c r="AT85" s="150"/>
      <c r="AU85" s="144"/>
      <c r="AV85" s="133"/>
      <c r="AW85" s="133"/>
      <c r="AX85" s="140"/>
      <c r="AY85" s="141"/>
      <c r="AZ85" s="156"/>
      <c r="BA85" s="159"/>
      <c r="BB85" s="158" t="s">
        <v>102</v>
      </c>
    </row>
    <row r="86" spans="1:54" ht="81.75" customHeight="1" x14ac:dyDescent="0.15">
      <c r="A86" s="126">
        <f t="shared" si="21"/>
        <v>77</v>
      </c>
      <c r="B86" s="127"/>
      <c r="C86" s="128" t="str">
        <f t="shared" ref="C86:C87" si="26">IF(AND(H86&lt;&gt;"",AW86&lt;&gt;""),"検証完了",IF(AND(H86&lt;&gt;"",AB86&lt;&gt;""),"修正完了",IF(AND(H86&lt;&gt;"",Z86&lt;&gt;""),"対応中",IF(H86&lt;&gt;"","未着手",""))))</f>
        <v/>
      </c>
      <c r="D86" s="129"/>
      <c r="E86" s="130" t="str">
        <f t="shared" ref="E86:E87" si="27">TEXT(A86,"0000")</f>
        <v>0077</v>
      </c>
      <c r="F86" s="131" t="str">
        <f t="shared" ref="F86:F87" si="28">IF(D86="","",CONCATENATE(D86,"-",E86))</f>
        <v/>
      </c>
      <c r="G86" s="132"/>
      <c r="H86" s="133"/>
      <c r="I86" s="133"/>
      <c r="J86" s="133"/>
      <c r="K86" s="137"/>
      <c r="L86" s="137" t="s">
        <v>182</v>
      </c>
      <c r="M86" s="129"/>
      <c r="N86" s="129"/>
      <c r="O86" s="130" t="str">
        <f t="shared" ref="O86:O87" si="29">IF(AND(M86&lt;&gt;"",N86&lt;&gt;""),CONCATENATE(M86,"-",N86),"")</f>
        <v/>
      </c>
      <c r="P86" s="138"/>
      <c r="Q86" s="129"/>
      <c r="R86" s="129"/>
      <c r="S86" s="129"/>
      <c r="T86" s="129"/>
      <c r="U86" s="129"/>
      <c r="V86" s="129"/>
      <c r="W86" s="140"/>
      <c r="X86" s="141"/>
      <c r="Y86" s="144"/>
      <c r="Z86" s="133"/>
      <c r="AA86" s="133"/>
      <c r="AB86" s="133"/>
      <c r="AC86" s="133"/>
      <c r="AD86" s="133"/>
      <c r="AE86" s="137" t="s">
        <v>183</v>
      </c>
      <c r="AF86" s="145"/>
      <c r="AG86" s="129"/>
      <c r="AH86" s="129"/>
      <c r="AI86" s="129"/>
      <c r="AJ86" s="129"/>
      <c r="AK86" s="146"/>
      <c r="AL86" s="129"/>
      <c r="AM86" s="147"/>
      <c r="AN86" s="147"/>
      <c r="AO86" s="147" t="s">
        <v>113</v>
      </c>
      <c r="AP86" s="129"/>
      <c r="AQ86" s="129"/>
      <c r="AR86" s="140"/>
      <c r="AS86" s="140"/>
      <c r="AT86" s="150"/>
      <c r="AU86" s="144"/>
      <c r="AV86" s="133"/>
      <c r="AW86" s="133"/>
      <c r="AX86" s="140"/>
      <c r="AY86" s="141"/>
      <c r="AZ86" s="156"/>
      <c r="BA86" s="159"/>
      <c r="BB86" s="158" t="s">
        <v>102</v>
      </c>
    </row>
    <row r="87" spans="1:54" ht="81.75" customHeight="1" x14ac:dyDescent="0.15">
      <c r="A87" s="126">
        <f t="shared" si="21"/>
        <v>78</v>
      </c>
      <c r="B87" s="127"/>
      <c r="C87" s="128" t="str">
        <f t="shared" si="26"/>
        <v/>
      </c>
      <c r="D87" s="129"/>
      <c r="E87" s="130" t="str">
        <f t="shared" si="27"/>
        <v>0078</v>
      </c>
      <c r="F87" s="131" t="str">
        <f t="shared" si="28"/>
        <v/>
      </c>
      <c r="G87" s="132"/>
      <c r="H87" s="133"/>
      <c r="I87" s="133"/>
      <c r="J87" s="133"/>
      <c r="K87" s="137"/>
      <c r="L87" s="137" t="s">
        <v>182</v>
      </c>
      <c r="M87" s="129"/>
      <c r="N87" s="129"/>
      <c r="O87" s="130" t="str">
        <f t="shared" si="29"/>
        <v/>
      </c>
      <c r="P87" s="138"/>
      <c r="Q87" s="129"/>
      <c r="R87" s="129"/>
      <c r="S87" s="129"/>
      <c r="T87" s="129"/>
      <c r="U87" s="129"/>
      <c r="V87" s="129"/>
      <c r="W87" s="140"/>
      <c r="X87" s="141"/>
      <c r="Y87" s="144"/>
      <c r="Z87" s="133"/>
      <c r="AA87" s="133"/>
      <c r="AB87" s="133"/>
      <c r="AC87" s="133"/>
      <c r="AD87" s="133"/>
      <c r="AE87" s="137" t="s">
        <v>183</v>
      </c>
      <c r="AF87" s="145"/>
      <c r="AG87" s="129"/>
      <c r="AH87" s="129"/>
      <c r="AI87" s="129"/>
      <c r="AJ87" s="129"/>
      <c r="AK87" s="146"/>
      <c r="AL87" s="129"/>
      <c r="AM87" s="147"/>
      <c r="AN87" s="147"/>
      <c r="AO87" s="147"/>
      <c r="AP87" s="129"/>
      <c r="AQ87" s="129"/>
      <c r="AR87" s="140"/>
      <c r="AS87" s="140"/>
      <c r="AT87" s="150"/>
      <c r="AU87" s="144"/>
      <c r="AV87" s="133"/>
      <c r="AW87" s="133"/>
      <c r="AX87" s="140"/>
      <c r="AY87" s="141"/>
      <c r="AZ87" s="156"/>
      <c r="BA87" s="159"/>
      <c r="BB87" s="158" t="s">
        <v>102</v>
      </c>
    </row>
    <row r="88" spans="1:54" ht="81.75" customHeight="1" x14ac:dyDescent="0.15">
      <c r="A88" s="126">
        <f t="shared" si="21"/>
        <v>79</v>
      </c>
      <c r="B88" s="127"/>
      <c r="C88" s="128" t="str">
        <f t="shared" ref="C88:C89" si="30">IF(AND(H88&lt;&gt;"",AW88&lt;&gt;""),"検証完了",IF(AND(H88&lt;&gt;"",AB88&lt;&gt;""),"修正完了",IF(AND(H88&lt;&gt;"",Z88&lt;&gt;""),"対応中",IF(H88&lt;&gt;"","未着手",""))))</f>
        <v/>
      </c>
      <c r="D88" s="129"/>
      <c r="E88" s="130" t="str">
        <f t="shared" ref="E88:E89" si="31">TEXT(A88,"0000")</f>
        <v>0079</v>
      </c>
      <c r="F88" s="131" t="str">
        <f t="shared" ref="F88:F89" si="32">IF(D88="","",CONCATENATE(D88,"-",E88))</f>
        <v/>
      </c>
      <c r="G88" s="132"/>
      <c r="H88" s="133"/>
      <c r="I88" s="133"/>
      <c r="J88" s="133"/>
      <c r="K88" s="137"/>
      <c r="L88" s="137" t="s">
        <v>182</v>
      </c>
      <c r="M88" s="129"/>
      <c r="N88" s="129"/>
      <c r="O88" s="130" t="str">
        <f t="shared" ref="O88:O89" si="33">IF(AND(M88&lt;&gt;"",N88&lt;&gt;""),CONCATENATE(M88,"-",N88),"")</f>
        <v/>
      </c>
      <c r="P88" s="138"/>
      <c r="Q88" s="129"/>
      <c r="R88" s="129"/>
      <c r="S88" s="129"/>
      <c r="T88" s="129"/>
      <c r="U88" s="129"/>
      <c r="V88" s="129"/>
      <c r="W88" s="140"/>
      <c r="X88" s="141"/>
      <c r="Y88" s="144"/>
      <c r="Z88" s="133"/>
      <c r="AA88" s="133"/>
      <c r="AB88" s="133"/>
      <c r="AC88" s="133"/>
      <c r="AD88" s="133"/>
      <c r="AE88" s="137" t="s">
        <v>183</v>
      </c>
      <c r="AF88" s="145"/>
      <c r="AG88" s="129"/>
      <c r="AH88" s="129"/>
      <c r="AI88" s="129"/>
      <c r="AJ88" s="129"/>
      <c r="AK88" s="146"/>
      <c r="AL88" s="129"/>
      <c r="AM88" s="147"/>
      <c r="AN88" s="147"/>
      <c r="AO88" s="147" t="s">
        <v>113</v>
      </c>
      <c r="AP88" s="129"/>
      <c r="AQ88" s="129"/>
      <c r="AR88" s="140"/>
      <c r="AS88" s="140"/>
      <c r="AT88" s="150"/>
      <c r="AU88" s="144"/>
      <c r="AV88" s="133"/>
      <c r="AW88" s="133"/>
      <c r="AX88" s="140"/>
      <c r="AY88" s="141"/>
      <c r="AZ88" s="156"/>
      <c r="BA88" s="159"/>
      <c r="BB88" s="158" t="s">
        <v>102</v>
      </c>
    </row>
    <row r="89" spans="1:54" ht="81.75" customHeight="1" x14ac:dyDescent="0.15">
      <c r="A89" s="126">
        <f t="shared" si="21"/>
        <v>80</v>
      </c>
      <c r="B89" s="127"/>
      <c r="C89" s="128" t="str">
        <f t="shared" si="30"/>
        <v/>
      </c>
      <c r="D89" s="129"/>
      <c r="E89" s="130" t="str">
        <f t="shared" si="31"/>
        <v>0080</v>
      </c>
      <c r="F89" s="131" t="str">
        <f t="shared" si="32"/>
        <v/>
      </c>
      <c r="G89" s="132"/>
      <c r="H89" s="133"/>
      <c r="I89" s="133"/>
      <c r="J89" s="133"/>
      <c r="K89" s="137"/>
      <c r="L89" s="137" t="s">
        <v>182</v>
      </c>
      <c r="M89" s="129"/>
      <c r="N89" s="129"/>
      <c r="O89" s="130" t="str">
        <f t="shared" si="33"/>
        <v/>
      </c>
      <c r="P89" s="138"/>
      <c r="Q89" s="129"/>
      <c r="R89" s="129"/>
      <c r="S89" s="129"/>
      <c r="T89" s="129"/>
      <c r="U89" s="129"/>
      <c r="V89" s="129"/>
      <c r="W89" s="140"/>
      <c r="X89" s="141"/>
      <c r="Y89" s="144"/>
      <c r="Z89" s="133"/>
      <c r="AA89" s="133"/>
      <c r="AB89" s="133"/>
      <c r="AC89" s="133"/>
      <c r="AD89" s="133"/>
      <c r="AE89" s="137" t="s">
        <v>183</v>
      </c>
      <c r="AF89" s="145"/>
      <c r="AG89" s="129"/>
      <c r="AH89" s="129"/>
      <c r="AI89" s="129"/>
      <c r="AJ89" s="129"/>
      <c r="AK89" s="146"/>
      <c r="AL89" s="129"/>
      <c r="AM89" s="147"/>
      <c r="AN89" s="147"/>
      <c r="AO89" s="147"/>
      <c r="AP89" s="129"/>
      <c r="AQ89" s="129"/>
      <c r="AR89" s="140"/>
      <c r="AS89" s="140"/>
      <c r="AT89" s="150"/>
      <c r="AU89" s="144"/>
      <c r="AV89" s="133"/>
      <c r="AW89" s="133"/>
      <c r="AX89" s="140"/>
      <c r="AY89" s="141"/>
      <c r="AZ89" s="156"/>
      <c r="BA89" s="159"/>
      <c r="BB89" s="158" t="s">
        <v>102</v>
      </c>
    </row>
    <row r="90" spans="1:54" ht="81.75" customHeight="1" x14ac:dyDescent="0.15">
      <c r="A90" s="126">
        <f t="shared" si="21"/>
        <v>81</v>
      </c>
      <c r="B90" s="127"/>
      <c r="C90" s="128" t="str">
        <f t="shared" ref="C90:C91" si="34">IF(AND(H90&lt;&gt;"",AW90&lt;&gt;""),"検証完了",IF(AND(H90&lt;&gt;"",AB90&lt;&gt;""),"修正完了",IF(AND(H90&lt;&gt;"",Z90&lt;&gt;""),"対応中",IF(H90&lt;&gt;"","未着手",""))))</f>
        <v/>
      </c>
      <c r="D90" s="129"/>
      <c r="E90" s="130" t="str">
        <f t="shared" ref="E90:E91" si="35">TEXT(A90,"0000")</f>
        <v>0081</v>
      </c>
      <c r="F90" s="131" t="str">
        <f t="shared" ref="F90:F91" si="36">IF(D90="","",CONCATENATE(D90,"-",E90))</f>
        <v/>
      </c>
      <c r="G90" s="132"/>
      <c r="H90" s="133"/>
      <c r="I90" s="133"/>
      <c r="J90" s="133"/>
      <c r="K90" s="137"/>
      <c r="L90" s="137" t="s">
        <v>182</v>
      </c>
      <c r="M90" s="129"/>
      <c r="N90" s="129"/>
      <c r="O90" s="130" t="str">
        <f t="shared" ref="O90:O91" si="37">IF(AND(M90&lt;&gt;"",N90&lt;&gt;""),CONCATENATE(M90,"-",N90),"")</f>
        <v/>
      </c>
      <c r="P90" s="138"/>
      <c r="Q90" s="129"/>
      <c r="R90" s="129"/>
      <c r="S90" s="129"/>
      <c r="T90" s="129"/>
      <c r="U90" s="129"/>
      <c r="V90" s="129"/>
      <c r="W90" s="140"/>
      <c r="X90" s="141"/>
      <c r="Y90" s="144"/>
      <c r="Z90" s="133"/>
      <c r="AA90" s="133"/>
      <c r="AB90" s="133"/>
      <c r="AC90" s="133"/>
      <c r="AD90" s="133"/>
      <c r="AE90" s="137" t="s">
        <v>183</v>
      </c>
      <c r="AF90" s="145"/>
      <c r="AG90" s="129"/>
      <c r="AH90" s="129"/>
      <c r="AI90" s="129"/>
      <c r="AJ90" s="129"/>
      <c r="AK90" s="146"/>
      <c r="AL90" s="129"/>
      <c r="AM90" s="147"/>
      <c r="AN90" s="147"/>
      <c r="AO90" s="147" t="s">
        <v>113</v>
      </c>
      <c r="AP90" s="129"/>
      <c r="AQ90" s="129"/>
      <c r="AR90" s="140"/>
      <c r="AS90" s="140"/>
      <c r="AT90" s="150"/>
      <c r="AU90" s="144"/>
      <c r="AV90" s="133"/>
      <c r="AW90" s="133"/>
      <c r="AX90" s="140"/>
      <c r="AY90" s="141"/>
      <c r="AZ90" s="156"/>
      <c r="BA90" s="159"/>
      <c r="BB90" s="158" t="s">
        <v>102</v>
      </c>
    </row>
    <row r="91" spans="1:54" ht="81.75" customHeight="1" x14ac:dyDescent="0.15">
      <c r="A91" s="126">
        <f t="shared" si="21"/>
        <v>82</v>
      </c>
      <c r="B91" s="127"/>
      <c r="C91" s="128" t="str">
        <f t="shared" si="34"/>
        <v/>
      </c>
      <c r="D91" s="129"/>
      <c r="E91" s="130" t="str">
        <f t="shared" si="35"/>
        <v>0082</v>
      </c>
      <c r="F91" s="131" t="str">
        <f t="shared" si="36"/>
        <v/>
      </c>
      <c r="G91" s="132"/>
      <c r="H91" s="133"/>
      <c r="I91" s="133"/>
      <c r="J91" s="133"/>
      <c r="K91" s="137"/>
      <c r="L91" s="137" t="s">
        <v>182</v>
      </c>
      <c r="M91" s="129"/>
      <c r="N91" s="129"/>
      <c r="O91" s="130" t="str">
        <f t="shared" si="37"/>
        <v/>
      </c>
      <c r="P91" s="138"/>
      <c r="Q91" s="129"/>
      <c r="R91" s="129"/>
      <c r="S91" s="129"/>
      <c r="T91" s="129"/>
      <c r="U91" s="129"/>
      <c r="V91" s="129"/>
      <c r="W91" s="140"/>
      <c r="X91" s="141"/>
      <c r="Y91" s="144"/>
      <c r="Z91" s="133"/>
      <c r="AA91" s="133"/>
      <c r="AB91" s="133"/>
      <c r="AC91" s="133"/>
      <c r="AD91" s="133"/>
      <c r="AE91" s="137" t="s">
        <v>183</v>
      </c>
      <c r="AF91" s="145"/>
      <c r="AG91" s="129"/>
      <c r="AH91" s="129"/>
      <c r="AI91" s="129"/>
      <c r="AJ91" s="129"/>
      <c r="AK91" s="146"/>
      <c r="AL91" s="129"/>
      <c r="AM91" s="147"/>
      <c r="AN91" s="147"/>
      <c r="AO91" s="147"/>
      <c r="AP91" s="129"/>
      <c r="AQ91" s="129"/>
      <c r="AR91" s="140"/>
      <c r="AS91" s="140"/>
      <c r="AT91" s="150"/>
      <c r="AU91" s="144"/>
      <c r="AV91" s="133"/>
      <c r="AW91" s="133"/>
      <c r="AX91" s="140"/>
      <c r="AY91" s="141"/>
      <c r="AZ91" s="156"/>
      <c r="BA91" s="159"/>
      <c r="BB91" s="158" t="s">
        <v>102</v>
      </c>
    </row>
    <row r="92" spans="1:54" ht="81.75" customHeight="1" x14ac:dyDescent="0.15">
      <c r="A92" s="126">
        <f t="shared" si="21"/>
        <v>83</v>
      </c>
      <c r="B92" s="127"/>
      <c r="C92" s="128" t="str">
        <f t="shared" ref="C92:C93" si="38">IF(AND(H92&lt;&gt;"",AW92&lt;&gt;""),"検証完了",IF(AND(H92&lt;&gt;"",AB92&lt;&gt;""),"修正完了",IF(AND(H92&lt;&gt;"",Z92&lt;&gt;""),"対応中",IF(H92&lt;&gt;"","未着手",""))))</f>
        <v/>
      </c>
      <c r="D92" s="129"/>
      <c r="E92" s="130" t="str">
        <f t="shared" ref="E92:E93" si="39">TEXT(A92,"0000")</f>
        <v>0083</v>
      </c>
      <c r="F92" s="131" t="str">
        <f t="shared" ref="F92:F93" si="40">IF(D92="","",CONCATENATE(D92,"-",E92))</f>
        <v/>
      </c>
      <c r="G92" s="132"/>
      <c r="H92" s="133"/>
      <c r="I92" s="133"/>
      <c r="J92" s="133"/>
      <c r="K92" s="137"/>
      <c r="L92" s="137" t="s">
        <v>182</v>
      </c>
      <c r="M92" s="129"/>
      <c r="N92" s="129"/>
      <c r="O92" s="130" t="str">
        <f t="shared" ref="O92:O93" si="41">IF(AND(M92&lt;&gt;"",N92&lt;&gt;""),CONCATENATE(M92,"-",N92),"")</f>
        <v/>
      </c>
      <c r="P92" s="138"/>
      <c r="Q92" s="129"/>
      <c r="R92" s="129"/>
      <c r="S92" s="129"/>
      <c r="T92" s="129"/>
      <c r="U92" s="129"/>
      <c r="V92" s="129"/>
      <c r="W92" s="140"/>
      <c r="X92" s="141"/>
      <c r="Y92" s="144"/>
      <c r="Z92" s="133"/>
      <c r="AA92" s="133"/>
      <c r="AB92" s="133"/>
      <c r="AC92" s="133"/>
      <c r="AD92" s="133"/>
      <c r="AE92" s="137" t="s">
        <v>183</v>
      </c>
      <c r="AF92" s="145"/>
      <c r="AG92" s="129"/>
      <c r="AH92" s="129"/>
      <c r="AI92" s="129"/>
      <c r="AJ92" s="129"/>
      <c r="AK92" s="146"/>
      <c r="AL92" s="129"/>
      <c r="AM92" s="147"/>
      <c r="AN92" s="147"/>
      <c r="AO92" s="147" t="s">
        <v>113</v>
      </c>
      <c r="AP92" s="129"/>
      <c r="AQ92" s="129"/>
      <c r="AR92" s="140"/>
      <c r="AS92" s="140"/>
      <c r="AT92" s="150"/>
      <c r="AU92" s="144"/>
      <c r="AV92" s="133"/>
      <c r="AW92" s="133"/>
      <c r="AX92" s="140"/>
      <c r="AY92" s="141"/>
      <c r="AZ92" s="156"/>
      <c r="BA92" s="159"/>
      <c r="BB92" s="158" t="s">
        <v>102</v>
      </c>
    </row>
    <row r="93" spans="1:54" ht="81.75" customHeight="1" x14ac:dyDescent="0.15">
      <c r="A93" s="126">
        <f t="shared" si="21"/>
        <v>84</v>
      </c>
      <c r="B93" s="127"/>
      <c r="C93" s="128" t="str">
        <f t="shared" si="38"/>
        <v/>
      </c>
      <c r="D93" s="129"/>
      <c r="E93" s="130" t="str">
        <f t="shared" si="39"/>
        <v>0084</v>
      </c>
      <c r="F93" s="131" t="str">
        <f t="shared" si="40"/>
        <v/>
      </c>
      <c r="G93" s="132"/>
      <c r="H93" s="133"/>
      <c r="I93" s="133"/>
      <c r="J93" s="133"/>
      <c r="K93" s="137"/>
      <c r="L93" s="137" t="s">
        <v>182</v>
      </c>
      <c r="M93" s="129"/>
      <c r="N93" s="129"/>
      <c r="O93" s="130" t="str">
        <f t="shared" si="41"/>
        <v/>
      </c>
      <c r="P93" s="138"/>
      <c r="Q93" s="129"/>
      <c r="R93" s="129"/>
      <c r="S93" s="129"/>
      <c r="T93" s="129"/>
      <c r="U93" s="129"/>
      <c r="V93" s="129"/>
      <c r="W93" s="140"/>
      <c r="X93" s="141"/>
      <c r="Y93" s="144"/>
      <c r="Z93" s="133"/>
      <c r="AA93" s="133"/>
      <c r="AB93" s="133"/>
      <c r="AC93" s="133"/>
      <c r="AD93" s="133"/>
      <c r="AE93" s="137" t="s">
        <v>183</v>
      </c>
      <c r="AF93" s="145"/>
      <c r="AG93" s="129"/>
      <c r="AH93" s="129"/>
      <c r="AI93" s="129"/>
      <c r="AJ93" s="129"/>
      <c r="AK93" s="146"/>
      <c r="AL93" s="129"/>
      <c r="AM93" s="147"/>
      <c r="AN93" s="147"/>
      <c r="AO93" s="147"/>
      <c r="AP93" s="129"/>
      <c r="AQ93" s="129"/>
      <c r="AR93" s="140"/>
      <c r="AS93" s="140"/>
      <c r="AT93" s="150"/>
      <c r="AU93" s="144"/>
      <c r="AV93" s="133"/>
      <c r="AW93" s="133"/>
      <c r="AX93" s="140"/>
      <c r="AY93" s="141"/>
      <c r="AZ93" s="156"/>
      <c r="BA93" s="159"/>
      <c r="BB93" s="158" t="s">
        <v>102</v>
      </c>
    </row>
    <row r="94" spans="1:54" ht="81.75" customHeight="1" x14ac:dyDescent="0.15">
      <c r="A94" s="126">
        <f t="shared" si="21"/>
        <v>85</v>
      </c>
      <c r="B94" s="127"/>
      <c r="C94" s="128" t="str">
        <f t="shared" ref="C94:C95" si="42">IF(AND(H94&lt;&gt;"",AW94&lt;&gt;""),"検証完了",IF(AND(H94&lt;&gt;"",AB94&lt;&gt;""),"修正完了",IF(AND(H94&lt;&gt;"",Z94&lt;&gt;""),"対応中",IF(H94&lt;&gt;"","未着手",""))))</f>
        <v/>
      </c>
      <c r="D94" s="129"/>
      <c r="E94" s="130" t="str">
        <f t="shared" ref="E94:E95" si="43">TEXT(A94,"0000")</f>
        <v>0085</v>
      </c>
      <c r="F94" s="131" t="str">
        <f t="shared" ref="F94:F95" si="44">IF(D94="","",CONCATENATE(D94,"-",E94))</f>
        <v/>
      </c>
      <c r="G94" s="132"/>
      <c r="H94" s="133"/>
      <c r="I94" s="133"/>
      <c r="J94" s="133"/>
      <c r="K94" s="137"/>
      <c r="L94" s="137" t="s">
        <v>182</v>
      </c>
      <c r="M94" s="129"/>
      <c r="N94" s="129"/>
      <c r="O94" s="130" t="str">
        <f t="shared" ref="O94:O95" si="45">IF(AND(M94&lt;&gt;"",N94&lt;&gt;""),CONCATENATE(M94,"-",N94),"")</f>
        <v/>
      </c>
      <c r="P94" s="138"/>
      <c r="Q94" s="129"/>
      <c r="R94" s="129"/>
      <c r="S94" s="129"/>
      <c r="T94" s="129"/>
      <c r="U94" s="129"/>
      <c r="V94" s="129"/>
      <c r="W94" s="140"/>
      <c r="X94" s="141"/>
      <c r="Y94" s="144"/>
      <c r="Z94" s="133"/>
      <c r="AA94" s="133"/>
      <c r="AB94" s="133"/>
      <c r="AC94" s="133"/>
      <c r="AD94" s="133"/>
      <c r="AE94" s="137" t="s">
        <v>183</v>
      </c>
      <c r="AF94" s="145"/>
      <c r="AG94" s="129"/>
      <c r="AH94" s="129"/>
      <c r="AI94" s="129"/>
      <c r="AJ94" s="129"/>
      <c r="AK94" s="146"/>
      <c r="AL94" s="129"/>
      <c r="AM94" s="147"/>
      <c r="AN94" s="147"/>
      <c r="AO94" s="147" t="s">
        <v>113</v>
      </c>
      <c r="AP94" s="129"/>
      <c r="AQ94" s="129"/>
      <c r="AR94" s="140"/>
      <c r="AS94" s="140"/>
      <c r="AT94" s="150"/>
      <c r="AU94" s="144"/>
      <c r="AV94" s="133"/>
      <c r="AW94" s="133"/>
      <c r="AX94" s="140"/>
      <c r="AY94" s="141"/>
      <c r="AZ94" s="156"/>
      <c r="BA94" s="159"/>
      <c r="BB94" s="158" t="s">
        <v>102</v>
      </c>
    </row>
    <row r="95" spans="1:54" ht="81.75" customHeight="1" x14ac:dyDescent="0.15">
      <c r="A95" s="126">
        <f t="shared" si="21"/>
        <v>86</v>
      </c>
      <c r="B95" s="127"/>
      <c r="C95" s="128" t="str">
        <f t="shared" si="42"/>
        <v/>
      </c>
      <c r="D95" s="129"/>
      <c r="E95" s="130" t="str">
        <f t="shared" si="43"/>
        <v>0086</v>
      </c>
      <c r="F95" s="131" t="str">
        <f t="shared" si="44"/>
        <v/>
      </c>
      <c r="G95" s="132"/>
      <c r="H95" s="133"/>
      <c r="I95" s="133"/>
      <c r="J95" s="133"/>
      <c r="K95" s="137"/>
      <c r="L95" s="137" t="s">
        <v>182</v>
      </c>
      <c r="M95" s="129"/>
      <c r="N95" s="129"/>
      <c r="O95" s="130" t="str">
        <f t="shared" si="45"/>
        <v/>
      </c>
      <c r="P95" s="138"/>
      <c r="Q95" s="129"/>
      <c r="R95" s="129"/>
      <c r="S95" s="129"/>
      <c r="T95" s="129"/>
      <c r="U95" s="129"/>
      <c r="V95" s="129"/>
      <c r="W95" s="140"/>
      <c r="X95" s="141"/>
      <c r="Y95" s="144"/>
      <c r="Z95" s="133"/>
      <c r="AA95" s="133"/>
      <c r="AB95" s="133"/>
      <c r="AC95" s="133"/>
      <c r="AD95" s="133"/>
      <c r="AE95" s="137" t="s">
        <v>183</v>
      </c>
      <c r="AF95" s="145"/>
      <c r="AG95" s="129"/>
      <c r="AH95" s="129"/>
      <c r="AI95" s="129"/>
      <c r="AJ95" s="129"/>
      <c r="AK95" s="146"/>
      <c r="AL95" s="129"/>
      <c r="AM95" s="147"/>
      <c r="AN95" s="147"/>
      <c r="AO95" s="147"/>
      <c r="AP95" s="129"/>
      <c r="AQ95" s="129"/>
      <c r="AR95" s="140"/>
      <c r="AS95" s="140"/>
      <c r="AT95" s="150"/>
      <c r="AU95" s="144"/>
      <c r="AV95" s="133"/>
      <c r="AW95" s="133"/>
      <c r="AX95" s="140"/>
      <c r="AY95" s="141"/>
      <c r="AZ95" s="156"/>
      <c r="BA95" s="159"/>
      <c r="BB95" s="158" t="s">
        <v>102</v>
      </c>
    </row>
    <row r="96" spans="1:54" ht="29.25" customHeight="1" x14ac:dyDescent="0.15">
      <c r="A96" s="160" t="s">
        <v>184</v>
      </c>
      <c r="B96" s="161"/>
      <c r="C96" s="161"/>
      <c r="D96" s="161"/>
      <c r="E96" s="161"/>
      <c r="F96" s="161"/>
      <c r="G96" s="161"/>
      <c r="H96" s="161"/>
      <c r="I96" s="161"/>
      <c r="J96" s="161"/>
      <c r="K96" s="161"/>
      <c r="L96" s="161"/>
      <c r="M96" s="161"/>
      <c r="N96" s="161"/>
      <c r="O96" s="161"/>
      <c r="P96" s="161"/>
      <c r="Q96" s="161"/>
      <c r="R96" s="161"/>
      <c r="S96" s="161"/>
      <c r="T96" s="161"/>
      <c r="U96" s="161"/>
      <c r="V96" s="161"/>
      <c r="W96" s="161"/>
      <c r="X96" s="161"/>
      <c r="Y96" s="161"/>
      <c r="Z96" s="161"/>
      <c r="AA96" s="161"/>
      <c r="AB96" s="161"/>
      <c r="AC96" s="161"/>
      <c r="AD96" s="161"/>
      <c r="AE96" s="161"/>
      <c r="AF96" s="161"/>
      <c r="AG96" s="161"/>
      <c r="AH96" s="161"/>
      <c r="AI96" s="161"/>
      <c r="AJ96" s="161"/>
      <c r="AK96" s="161"/>
      <c r="AL96" s="161"/>
      <c r="AM96" s="161"/>
      <c r="AN96" s="161"/>
      <c r="AO96" s="161"/>
      <c r="AP96" s="161"/>
      <c r="AQ96" s="161"/>
      <c r="AR96" s="161"/>
      <c r="AS96" s="161"/>
      <c r="AT96" s="161"/>
      <c r="AU96" s="161"/>
      <c r="AV96" s="161"/>
      <c r="AW96" s="161"/>
      <c r="AX96" s="161"/>
      <c r="AY96" s="161"/>
      <c r="AZ96" s="161"/>
      <c r="BA96" s="161"/>
      <c r="BB96" s="161"/>
    </row>
  </sheetData>
  <mergeCells count="6">
    <mergeCell ref="A1:C4"/>
    <mergeCell ref="E2:F2"/>
    <mergeCell ref="H2:K2"/>
    <mergeCell ref="E3:F3"/>
    <mergeCell ref="H3:K3"/>
    <mergeCell ref="E4:F4"/>
  </mergeCells>
  <phoneticPr fontId="38"/>
  <conditionalFormatting sqref="AM9:AM95">
    <cfRule type="expression" dxfId="6" priority="3">
      <formula>AND($AM9="",OR($AN9&lt;&gt;"",$AO9&lt;&gt;""))</formula>
    </cfRule>
  </conditionalFormatting>
  <conditionalFormatting sqref="AN9:AN95">
    <cfRule type="expression" dxfId="5" priority="4">
      <formula>AND($AN9="",OR($AM9&lt;&gt;"",$AO9&lt;&gt;""))</formula>
    </cfRule>
  </conditionalFormatting>
  <conditionalFormatting sqref="A9:BB95">
    <cfRule type="expression" dxfId="4" priority="2" stopIfTrue="1">
      <formula>$C9="検証完了"</formula>
    </cfRule>
    <cfRule type="expression" dxfId="3" priority="1" stopIfTrue="1">
      <formula>$B9="x"</formula>
    </cfRule>
  </conditionalFormatting>
  <dataValidations count="25">
    <dataValidation type="textLength" allowBlank="1" showInputMessage="1" showErrorMessage="1" sqref="H2:K2" xr:uid="{00000000-0002-0000-0100-000000000000}">
      <formula1>0</formula1>
      <formula2>50</formula2>
    </dataValidation>
    <dataValidation type="list" allowBlank="1" showInputMessage="1" showErrorMessage="1" sqref="H3:K3" xr:uid="{00000000-0002-0000-0100-000001000000}">
      <formula1>INDIRECT(原因工程リスト範囲)</formula1>
    </dataValidation>
    <dataValidation type="textLength" allowBlank="1" showInputMessage="1" showErrorMessage="1" promptTitle="ダブルクリックしてください。" prompt="原因分類、原因区分、原因区分詳細をまとめて選択します。" sqref="AM9:AO9" xr:uid="{00000000-0002-0000-0100-000002000000}">
      <formula1>0</formula1>
      <formula2>40</formula2>
    </dataValidation>
    <dataValidation type="date" allowBlank="1" showInputMessage="1" showErrorMessage="1" sqref="AX10 H9:J95 Z9:AD95 AV9:AW95" xr:uid="{00000000-0002-0000-0100-000003000000}">
      <formula1>36526</formula1>
      <formula2>2958465</formula2>
    </dataValidation>
    <dataValidation type="list" allowBlank="1" showErrorMessage="1" prompt="指摘する側としての原因区分を選択入力する。" sqref="AJ9:AJ95" xr:uid="{00000000-0002-0000-0100-000004000000}">
      <formula1>INDIRECT(所属略称リスト範囲)</formula1>
    </dataValidation>
    <dataValidation type="list" showErrorMessage="1" prompt="指摘する側としての原因区分を選択入力する。" sqref="Q9:Q95 AG9:AG95" xr:uid="{00000000-0002-0000-0100-000005000000}">
      <formula1>INDIRECT(サブシステム選択)</formula1>
    </dataValidation>
    <dataValidation type="list" showErrorMessage="1" prompt="指摘する側としての原因区分を選択入力する。" sqref="AH9:AH95" xr:uid="{00000000-0002-0000-0100-000006000000}">
      <formula1>INDIRECT(VLOOKUP($AG9,業務プロセス範囲,3,FALSE))</formula1>
    </dataValidation>
    <dataValidation type="list" allowBlank="1" showInputMessage="1" prompt="直接入力できます。" sqref="G9:G95 Y9:Y95 AK9:AK95 AU9:AU95" xr:uid="{00000000-0002-0000-0100-000007000000}">
      <formula1>INDIRECT(担当者名リスト範囲)</formula1>
    </dataValidation>
    <dataValidation type="list" allowBlank="1" showErrorMessage="1" prompt="指摘する側としての原因区分を選択入力する。" sqref="AL9:AL95" xr:uid="{00000000-0002-0000-0100-000008000000}">
      <formula1>INDIRECT(原因工程リスト範囲)</formula1>
    </dataValidation>
    <dataValidation type="list" showErrorMessage="1" prompt="指摘する側としての原因区分を選択入力する。" sqref="AI9:AI95" xr:uid="{00000000-0002-0000-0100-000009000000}">
      <formula1>INDIRECT(VLOOKUP($AG9&amp;$AH9,プロセス範囲,3,FALSE))</formula1>
    </dataValidation>
    <dataValidation type="whole" operator="greaterThanOrEqual" allowBlank="1" showInputMessage="1" showErrorMessage="1" sqref="A9:A95 P9:P95" xr:uid="{00000000-0002-0000-0100-00000A000000}">
      <formula1>0</formula1>
    </dataValidation>
    <dataValidation type="list" allowBlank="1" showInputMessage="1" showErrorMessage="1" prompt="x：障害を無効とし、集計対象から除外したい場合に入力してください。" sqref="B9:B95" xr:uid="{00000000-0002-0000-0100-00000B000000}">
      <formula1>"x"</formula1>
    </dataValidation>
    <dataValidation allowBlank="1" showErrorMessage="1" prompt="指摘する側としての原因区分を選択入力する。" sqref="C9:C95" xr:uid="{00000000-0002-0000-0100-00000C000000}"/>
    <dataValidation type="list" allowBlank="1" showErrorMessage="1" prompt="指摘する側としての原因区分を選択入力する。" sqref="D9:D95" xr:uid="{00000000-0002-0000-0100-00000D000000}">
      <formula1>INDIRECT(管理識別リスト範囲)</formula1>
    </dataValidation>
    <dataValidation type="list" allowBlank="1" showErrorMessage="1" prompt="指摘する側としての原因区分を選択入力する。" sqref="M9:M95" xr:uid="{00000000-0002-0000-0100-00000E000000}">
      <formula1>INDIRECT(シナリオIDリスト範囲)</formula1>
    </dataValidation>
    <dataValidation type="list" allowBlank="1" showErrorMessage="1" prompt="指摘する側としての原因区分を選択入力する。" sqref="N10:N95" xr:uid="{00000000-0002-0000-0100-00000F000000}">
      <formula1>INDIRECT(ケース番号リスト範囲)</formula1>
    </dataValidation>
    <dataValidation type="list" showErrorMessage="1" prompt="指摘する側としての原因区分を選択入力する。" sqref="R9:R95" xr:uid="{00000000-0002-0000-0100-000010000000}">
      <formula1>INDIRECT(VLOOKUP($Q9,業務プロセス範囲,3,FALSE))</formula1>
    </dataValidation>
    <dataValidation type="list" showErrorMessage="1" prompt="指摘する側としての原因区分を選択入力する。" sqref="S9:S95" xr:uid="{00000000-0002-0000-0100-000011000000}">
      <formula1>INDIRECT(VLOOKUP($Q9&amp;$R9,プロセス範囲,3,FALSE))</formula1>
    </dataValidation>
    <dataValidation type="list" allowBlank="1" showErrorMessage="1" prompt="指摘する側としての原因区分を選択入力する。" sqref="T9:T95" xr:uid="{00000000-0002-0000-0100-000012000000}">
      <formula1>INDIRECT(発生頻度リスト範囲)</formula1>
    </dataValidation>
    <dataValidation type="list" allowBlank="1" showErrorMessage="1" prompt="指摘する側としての原因区分を選択入力する。" sqref="U9:U95" xr:uid="{00000000-0002-0000-0100-000013000000}">
      <formula1>INDIRECT(影響度リスト範囲)</formula1>
    </dataValidation>
    <dataValidation type="list" allowBlank="1" showErrorMessage="1" prompt="指摘する側としての原因区分を選択入力する。" sqref="V9:V95" xr:uid="{00000000-0002-0000-0100-000014000000}">
      <formula1>INDIRECT(重要度リスト範囲)</formula1>
    </dataValidation>
    <dataValidation type="list" allowBlank="1" showErrorMessage="1" prompt="指摘する側としての原因区分を選択入力する。" sqref="AP9:AP95" xr:uid="{00000000-0002-0000-0100-000015000000}">
      <formula1>INDIRECT(不具合内容リスト範囲)</formula1>
    </dataValidation>
    <dataValidation type="list" allowBlank="1" showErrorMessage="1" prompt="指摘する側としての原因区分を選択入力する。" sqref="AQ9:AQ95" xr:uid="{00000000-0002-0000-0100-000016000000}">
      <formula1>INDIRECT(不具合原因リスト範囲)</formula1>
    </dataValidation>
    <dataValidation type="list" allowBlank="1" showInputMessage="1" showErrorMessage="1" sqref="BA9:BA95" xr:uid="{00000000-0002-0000-0100-000017000000}">
      <formula1>"要,否"</formula1>
    </dataValidation>
    <dataValidation type="textLength" allowBlank="1" showInputMessage="1" showErrorMessage="1" promptTitle="ダブルクリックしてください。" prompt="原因分類、原因区分、原因区分詳細、アプリミス区分をまとめて選択します。" sqref="AM10:AO95" xr:uid="{00000000-0002-0000-0100-000018000000}">
      <formula1>0</formula1>
      <formula2>40</formula2>
    </dataValidation>
  </dataValidations>
  <hyperlinks>
    <hyperlink ref="D6" location="障害原因リンク" tooltip="障害原因にスクロールします。" display="&gt;&gt;障害原因・対処へ" xr:uid="{00000000-0004-0000-0100-000000000000}"/>
    <hyperlink ref="C6" location="障害情報リンク" tooltip="障害情報にスクロールします。" display="&gt;&gt;障害情報へ" xr:uid="{00000000-0004-0000-0100-000001000000}"/>
  </hyperlinks>
  <pageMargins left="0.70866141732283505" right="0.70866141732283505" top="0.74803149606299202" bottom="0.74803149606299202" header="0.31496062992126" footer="0.31496062992126"/>
  <pageSetup paperSize="9" scale="22" fitToHeight="0" orientation="landscape"/>
  <headerFooter>
    <oddFooter>&amp;L&amp;"Meiryo UI,標準"FUJITSU CONFIDENTIAL&amp;R&amp;"Meiryo UI,標準"All Rights Reserved, Copyright (C) 富士通株式会社 2017</oddFooter>
  </headerFooter>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pageSetUpPr fitToPage="1"/>
  </sheetPr>
  <dimension ref="A1:BB10"/>
  <sheetViews>
    <sheetView zoomScale="85" zoomScaleNormal="85" zoomScaleSheetLayoutView="85" zoomScalePageLayoutView="85" workbookViewId="0"/>
  </sheetViews>
  <sheetFormatPr defaultColWidth="9" defaultRowHeight="15.75" x14ac:dyDescent="0.15"/>
  <cols>
    <col min="1" max="16384" width="9" style="93"/>
  </cols>
  <sheetData>
    <row r="1" spans="1:54" ht="21" x14ac:dyDescent="0.15">
      <c r="A1" s="94" t="s">
        <v>185</v>
      </c>
    </row>
    <row r="2" spans="1:54" ht="5.0999999999999996" customHeight="1" x14ac:dyDescent="0.15"/>
    <row r="3" spans="1:54" ht="15.75" customHeight="1" x14ac:dyDescent="0.15">
      <c r="A3" s="95" t="s">
        <v>186</v>
      </c>
      <c r="B3" s="93" t="s">
        <v>187</v>
      </c>
    </row>
    <row r="4" spans="1:54" ht="15.75" customHeight="1" x14ac:dyDescent="0.15">
      <c r="A4" s="95" t="s">
        <v>188</v>
      </c>
      <c r="B4" s="93" t="s">
        <v>189</v>
      </c>
    </row>
    <row r="5" spans="1:54" ht="15.75" customHeight="1" x14ac:dyDescent="0.15"/>
    <row r="8" spans="1:54" x14ac:dyDescent="0.15">
      <c r="A8" s="96"/>
      <c r="B8" s="97"/>
      <c r="C8" s="97"/>
      <c r="D8" s="97"/>
      <c r="E8" s="97"/>
      <c r="F8" s="98"/>
      <c r="G8" s="99" t="s">
        <v>43</v>
      </c>
      <c r="H8" s="97"/>
      <c r="I8" s="97"/>
      <c r="J8" s="97"/>
      <c r="K8" s="97"/>
      <c r="L8" s="97"/>
      <c r="M8" s="97"/>
      <c r="N8" s="97"/>
      <c r="O8" s="97"/>
      <c r="P8" s="97"/>
      <c r="Q8" s="97"/>
      <c r="R8" s="97"/>
      <c r="S8" s="97"/>
      <c r="T8" s="97"/>
      <c r="U8" s="97"/>
      <c r="V8" s="97"/>
      <c r="W8" s="97"/>
      <c r="X8" s="98"/>
      <c r="Y8" s="99" t="s">
        <v>44</v>
      </c>
      <c r="Z8" s="97"/>
      <c r="AA8" s="97"/>
      <c r="AB8" s="97"/>
      <c r="AC8" s="97"/>
      <c r="AD8" s="97"/>
      <c r="AE8" s="97"/>
      <c r="AF8" s="97"/>
      <c r="AG8" s="97"/>
      <c r="AH8" s="97"/>
      <c r="AI8" s="97"/>
      <c r="AJ8" s="97"/>
      <c r="AK8" s="97"/>
      <c r="AL8" s="97"/>
      <c r="AM8" s="97"/>
      <c r="AN8" s="97"/>
      <c r="AO8" s="97"/>
      <c r="AP8" s="97"/>
      <c r="AQ8" s="97"/>
      <c r="AR8" s="97"/>
      <c r="AS8" s="97"/>
      <c r="AT8" s="97"/>
      <c r="AU8" s="97"/>
      <c r="AV8" s="97"/>
      <c r="AW8" s="97"/>
      <c r="AX8" s="97"/>
      <c r="AY8" s="97"/>
      <c r="AZ8" s="103"/>
      <c r="BA8" s="103"/>
      <c r="BB8" s="104"/>
    </row>
    <row r="9" spans="1:54" ht="31.5" x14ac:dyDescent="0.15">
      <c r="A9" s="100" t="s">
        <v>45</v>
      </c>
      <c r="B9" s="100" t="s">
        <v>46</v>
      </c>
      <c r="C9" s="100" t="s">
        <v>47</v>
      </c>
      <c r="D9" s="100" t="s">
        <v>48</v>
      </c>
      <c r="E9" s="100" t="s">
        <v>49</v>
      </c>
      <c r="F9" s="100" t="s">
        <v>50</v>
      </c>
      <c r="G9" s="100" t="s">
        <v>51</v>
      </c>
      <c r="H9" s="100" t="s">
        <v>190</v>
      </c>
      <c r="I9" s="100" t="s">
        <v>53</v>
      </c>
      <c r="J9" s="100" t="s">
        <v>54</v>
      </c>
      <c r="K9" s="100" t="s">
        <v>55</v>
      </c>
      <c r="L9" s="100" t="s">
        <v>56</v>
      </c>
      <c r="M9" s="100" t="s">
        <v>57</v>
      </c>
      <c r="N9" s="100" t="s">
        <v>58</v>
      </c>
      <c r="O9" s="100" t="s">
        <v>59</v>
      </c>
      <c r="P9" s="100" t="s">
        <v>60</v>
      </c>
      <c r="Q9" s="100" t="str">
        <f>"発生"&amp;設定シート!D2</f>
        <v>発生サブシステム名</v>
      </c>
      <c r="R9" s="100" t="str">
        <f>"発生"&amp;設定シート!E2</f>
        <v>発生業務プロセス名</v>
      </c>
      <c r="S9" s="100" t="str">
        <f>"発生"&amp;設定シート!F2</f>
        <v>発生プロセス名</v>
      </c>
      <c r="T9" s="100" t="s">
        <v>61</v>
      </c>
      <c r="U9" s="100" t="s">
        <v>62</v>
      </c>
      <c r="V9" s="100" t="s">
        <v>63</v>
      </c>
      <c r="W9" s="100" t="s">
        <v>64</v>
      </c>
      <c r="X9" s="100" t="s">
        <v>65</v>
      </c>
      <c r="Y9" s="100" t="s">
        <v>66</v>
      </c>
      <c r="Z9" s="100" t="s">
        <v>67</v>
      </c>
      <c r="AA9" s="100" t="s">
        <v>68</v>
      </c>
      <c r="AB9" s="100" t="s">
        <v>69</v>
      </c>
      <c r="AC9" s="100" t="s">
        <v>70</v>
      </c>
      <c r="AD9" s="100" t="s">
        <v>71</v>
      </c>
      <c r="AE9" s="100" t="s">
        <v>72</v>
      </c>
      <c r="AF9" s="100" t="s">
        <v>73</v>
      </c>
      <c r="AG9" s="100" t="str">
        <f>"原因"&amp;設定シート!D2</f>
        <v>原因サブシステム名</v>
      </c>
      <c r="AH9" s="100" t="str">
        <f>"原因"&amp;設定シート!E2</f>
        <v>原因業務プロセス名</v>
      </c>
      <c r="AI9" s="100" t="str">
        <f>"原因"&amp;設定シート!F2</f>
        <v>原因プロセス名</v>
      </c>
      <c r="AJ9" s="100" t="s">
        <v>74</v>
      </c>
      <c r="AK9" s="100" t="s">
        <v>75</v>
      </c>
      <c r="AL9" s="100" t="s">
        <v>76</v>
      </c>
      <c r="AM9" s="100" t="s">
        <v>77</v>
      </c>
      <c r="AN9" s="100" t="s">
        <v>78</v>
      </c>
      <c r="AO9" s="100" t="s">
        <v>79</v>
      </c>
      <c r="AP9" s="100" t="s">
        <v>80</v>
      </c>
      <c r="AQ9" s="100" t="s">
        <v>81</v>
      </c>
      <c r="AR9" s="100" t="s">
        <v>82</v>
      </c>
      <c r="AS9" s="100" t="s">
        <v>64</v>
      </c>
      <c r="AT9" s="100" t="s">
        <v>65</v>
      </c>
      <c r="AU9" s="100" t="s">
        <v>83</v>
      </c>
      <c r="AV9" s="100" t="s">
        <v>84</v>
      </c>
      <c r="AW9" s="100" t="s">
        <v>85</v>
      </c>
      <c r="AX9" s="100" t="s">
        <v>64</v>
      </c>
      <c r="AY9" s="100" t="s">
        <v>65</v>
      </c>
      <c r="AZ9" s="100" t="s">
        <v>86</v>
      </c>
      <c r="BA9" s="100" t="s">
        <v>87</v>
      </c>
      <c r="BB9" s="100" t="s">
        <v>88</v>
      </c>
    </row>
    <row r="10" spans="1:54" s="92" customFormat="1" ht="27.75" customHeight="1" x14ac:dyDescent="0.15">
      <c r="A10" s="101"/>
      <c r="B10" s="101" t="s">
        <v>89</v>
      </c>
      <c r="C10" s="101" t="s">
        <v>89</v>
      </c>
      <c r="D10" s="102" t="s">
        <v>191</v>
      </c>
      <c r="E10" s="102" t="s">
        <v>191</v>
      </c>
      <c r="F10" s="101" t="s">
        <v>89</v>
      </c>
      <c r="G10" s="101"/>
      <c r="H10" s="102" t="s">
        <v>191</v>
      </c>
      <c r="I10" s="101" t="s">
        <v>89</v>
      </c>
      <c r="J10" s="101" t="s">
        <v>89</v>
      </c>
      <c r="K10" s="102" t="s">
        <v>191</v>
      </c>
      <c r="L10" s="102" t="s">
        <v>191</v>
      </c>
      <c r="M10" s="101"/>
      <c r="N10" s="101"/>
      <c r="O10" s="101"/>
      <c r="P10" s="101" t="s">
        <v>89</v>
      </c>
      <c r="Q10" s="101" t="s">
        <v>89</v>
      </c>
      <c r="R10" s="101" t="s">
        <v>89</v>
      </c>
      <c r="S10" s="101" t="s">
        <v>89</v>
      </c>
      <c r="T10" s="101" t="s">
        <v>89</v>
      </c>
      <c r="U10" s="101" t="s">
        <v>89</v>
      </c>
      <c r="V10" s="101"/>
      <c r="W10" s="101" t="s">
        <v>89</v>
      </c>
      <c r="X10" s="101" t="s">
        <v>89</v>
      </c>
      <c r="Y10" s="101"/>
      <c r="Z10" s="101" t="s">
        <v>89</v>
      </c>
      <c r="AA10" s="101"/>
      <c r="AB10" s="101"/>
      <c r="AC10" s="101" t="s">
        <v>89</v>
      </c>
      <c r="AD10" s="101"/>
      <c r="AE10" s="102" t="s">
        <v>191</v>
      </c>
      <c r="AF10" s="102" t="s">
        <v>191</v>
      </c>
      <c r="AG10" s="102" t="s">
        <v>191</v>
      </c>
      <c r="AH10" s="101"/>
      <c r="AI10" s="101"/>
      <c r="AJ10" s="101"/>
      <c r="AK10" s="101"/>
      <c r="AL10" s="102" t="s">
        <v>191</v>
      </c>
      <c r="AM10" s="101" t="s">
        <v>89</v>
      </c>
      <c r="AN10" s="102" t="s">
        <v>191</v>
      </c>
      <c r="AO10" s="101"/>
      <c r="AP10" s="101"/>
      <c r="AQ10" s="101"/>
      <c r="AR10" s="101" t="s">
        <v>89</v>
      </c>
      <c r="AS10" s="101" t="s">
        <v>89</v>
      </c>
      <c r="AT10" s="101" t="s">
        <v>89</v>
      </c>
      <c r="AU10" s="101"/>
      <c r="AV10" s="101" t="s">
        <v>89</v>
      </c>
      <c r="AW10" s="101"/>
      <c r="AX10" s="101"/>
      <c r="AY10" s="101" t="s">
        <v>89</v>
      </c>
      <c r="AZ10" s="101" t="s">
        <v>89</v>
      </c>
      <c r="BA10" s="101"/>
      <c r="BB10" s="101"/>
    </row>
  </sheetData>
  <phoneticPr fontId="38"/>
  <conditionalFormatting sqref="B9">
    <cfRule type="expression" dxfId="2" priority="2" stopIfTrue="1">
      <formula>B10="x"</formula>
    </cfRule>
  </conditionalFormatting>
  <conditionalFormatting sqref="AF9">
    <cfRule type="expression" dxfId="1" priority="1" stopIfTrue="1">
      <formula>AF10="x"</formula>
    </cfRule>
  </conditionalFormatting>
  <conditionalFormatting sqref="A9 C9:AE9 AG9:BB9">
    <cfRule type="expression" dxfId="0" priority="3" stopIfTrue="1">
      <formula>A10="x"</formula>
    </cfRule>
  </conditionalFormatting>
  <dataValidations count="1">
    <dataValidation type="list" allowBlank="1" showInputMessage="1" showErrorMessage="1" sqref="A10:C10 F10:G10 I10:J10 M10:AD10 AH10:AK10 AM10 AO10:BB10" xr:uid="{00000000-0002-0000-0200-000000000000}">
      <formula1>"x"</formula1>
    </dataValidation>
  </dataValidations>
  <pageMargins left="0.70866141732283505" right="0.70866141732283505" top="0.74803149606299202" bottom="0.74803149606299202" header="0.31496062992126" footer="0.31496062992126"/>
  <pageSetup paperSize="9" scale="27" fitToHeight="0"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autoPict="0" macro="[0]!toHidden">
                <anchor moveWithCells="1" sizeWithCells="1">
                  <from>
                    <xdr:col>0</xdr:col>
                    <xdr:colOff>76200</xdr:colOff>
                    <xdr:row>4</xdr:row>
                    <xdr:rowOff>57150</xdr:rowOff>
                  </from>
                  <to>
                    <xdr:col>1</xdr:col>
                    <xdr:colOff>590550</xdr:colOff>
                    <xdr:row>5</xdr:row>
                    <xdr:rowOff>171450</xdr:rowOff>
                  </to>
                </anchor>
              </controlPr>
            </control>
          </mc:Choice>
        </mc:AlternateContent>
        <mc:AlternateContent xmlns:mc="http://schemas.openxmlformats.org/markup-compatibility/2006">
          <mc:Choice Requires="x14">
            <control shapeId="5122" r:id="rId5" name="Button 2">
              <controlPr defaultSize="0" autoPict="0" macro="[0]!toDisplay">
                <anchor moveWithCells="1" sizeWithCells="1">
                  <from>
                    <xdr:col>2</xdr:col>
                    <xdr:colOff>95250</xdr:colOff>
                    <xdr:row>4</xdr:row>
                    <xdr:rowOff>57150</xdr:rowOff>
                  </from>
                  <to>
                    <xdr:col>3</xdr:col>
                    <xdr:colOff>609600</xdr:colOff>
                    <xdr:row>5</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B1:AC103"/>
  <sheetViews>
    <sheetView showGridLines="0" zoomScale="85" zoomScaleNormal="85" zoomScaleSheetLayoutView="85" zoomScalePageLayoutView="85" workbookViewId="0"/>
  </sheetViews>
  <sheetFormatPr defaultColWidth="9" defaultRowHeight="15.75" x14ac:dyDescent="0.15"/>
  <cols>
    <col min="1" max="1" width="2.625" style="64" customWidth="1"/>
    <col min="2" max="2" width="23.625" style="64" customWidth="1"/>
    <col min="3" max="3" width="2.625" style="64" customWidth="1"/>
    <col min="4" max="4" width="12.625" style="64" customWidth="1"/>
    <col min="5" max="5" width="2.625" style="64" customWidth="1"/>
    <col min="6" max="6" width="12.625" style="64" customWidth="1"/>
    <col min="7" max="7" width="2.625" style="64" customWidth="1"/>
    <col min="8" max="8" width="12.625" style="64" customWidth="1"/>
    <col min="9" max="9" width="2.625" style="64" customWidth="1"/>
    <col min="10" max="10" width="12.625" style="64" customWidth="1"/>
    <col min="11" max="11" width="2.625" style="64" customWidth="1"/>
    <col min="12" max="12" width="12.625" style="64" customWidth="1"/>
    <col min="13" max="13" width="2.375" style="64" customWidth="1"/>
    <col min="14" max="14" width="21" style="65" customWidth="1"/>
    <col min="15" max="15" width="2.625" style="64" customWidth="1"/>
    <col min="16" max="16" width="21.375" style="66" customWidth="1"/>
    <col min="17" max="17" width="2.625" style="64" customWidth="1"/>
    <col min="18" max="18" width="21.375" style="66" customWidth="1"/>
    <col min="19" max="19" width="2.625" style="64" customWidth="1"/>
    <col min="20" max="20" width="21.375" style="66" customWidth="1"/>
    <col min="21" max="21" width="2.625" style="64" customWidth="1"/>
    <col min="22" max="22" width="21.375" style="64" customWidth="1"/>
    <col min="23" max="16384" width="9" style="64"/>
  </cols>
  <sheetData>
    <row r="1" spans="2:29" s="63" customFormat="1" ht="72" customHeight="1" x14ac:dyDescent="0.25">
      <c r="B1" s="67" t="s">
        <v>192</v>
      </c>
      <c r="D1" s="67" t="s">
        <v>193</v>
      </c>
      <c r="F1" s="67" t="s">
        <v>61</v>
      </c>
      <c r="H1" s="67" t="s">
        <v>62</v>
      </c>
      <c r="J1" s="67" t="s">
        <v>63</v>
      </c>
      <c r="L1" s="67" t="s">
        <v>194</v>
      </c>
      <c r="N1" s="75" t="s">
        <v>80</v>
      </c>
      <c r="P1" s="67" t="s">
        <v>81</v>
      </c>
      <c r="R1" s="67" t="s">
        <v>57</v>
      </c>
      <c r="T1" s="67" t="s">
        <v>195</v>
      </c>
      <c r="V1" s="67" t="s">
        <v>48</v>
      </c>
    </row>
    <row r="2" spans="2:29" ht="33" customHeight="1" x14ac:dyDescent="0.15">
      <c r="B2" s="68" t="s">
        <v>196</v>
      </c>
      <c r="D2" s="68" t="s">
        <v>197</v>
      </c>
      <c r="F2" s="68" t="s">
        <v>198</v>
      </c>
      <c r="H2" s="68" t="s">
        <v>199</v>
      </c>
      <c r="J2" s="68" t="s">
        <v>200</v>
      </c>
      <c r="L2" s="68" t="s">
        <v>201</v>
      </c>
      <c r="N2" s="76" t="s">
        <v>202</v>
      </c>
      <c r="P2" s="77" t="s">
        <v>203</v>
      </c>
      <c r="R2" s="77" t="s">
        <v>204</v>
      </c>
      <c r="T2" s="77" t="s">
        <v>205</v>
      </c>
      <c r="V2" s="68" t="s">
        <v>206</v>
      </c>
      <c r="X2" s="85"/>
      <c r="Y2" s="87"/>
      <c r="Z2" s="87"/>
      <c r="AA2" s="87"/>
      <c r="AB2" s="88"/>
      <c r="AC2" s="88"/>
    </row>
    <row r="3" spans="2:29" x14ac:dyDescent="0.15">
      <c r="B3" s="69"/>
      <c r="D3" s="69"/>
      <c r="F3" s="69"/>
      <c r="H3" s="69"/>
      <c r="J3" s="69"/>
      <c r="L3" s="69"/>
      <c r="N3" s="69"/>
      <c r="P3" s="69"/>
      <c r="R3" s="69"/>
      <c r="T3" s="69"/>
      <c r="V3" s="69"/>
      <c r="X3" s="28" t="s">
        <v>207</v>
      </c>
      <c r="Y3" s="87"/>
      <c r="Z3" s="87"/>
      <c r="AA3" s="87"/>
      <c r="AB3" s="88"/>
      <c r="AC3" s="88"/>
    </row>
    <row r="4" spans="2:29" ht="15.75" customHeight="1" x14ac:dyDescent="0.15">
      <c r="B4" s="70" t="s">
        <v>208</v>
      </c>
      <c r="D4" s="71" t="s">
        <v>147</v>
      </c>
      <c r="F4" s="70" t="s">
        <v>96</v>
      </c>
      <c r="H4" s="70" t="s">
        <v>209</v>
      </c>
      <c r="J4" s="70" t="s">
        <v>210</v>
      </c>
      <c r="L4" s="78" t="s">
        <v>211</v>
      </c>
      <c r="N4" s="78" t="s">
        <v>212</v>
      </c>
      <c r="P4" s="79" t="s">
        <v>213</v>
      </c>
      <c r="R4" s="79" t="s">
        <v>214</v>
      </c>
      <c r="T4" s="86" t="s">
        <v>215</v>
      </c>
      <c r="V4" s="78" t="s">
        <v>110</v>
      </c>
      <c r="X4" s="29" t="s">
        <v>216</v>
      </c>
      <c r="Y4" s="87"/>
      <c r="Z4" s="87"/>
      <c r="AA4" s="87"/>
      <c r="AB4" s="88"/>
      <c r="AC4" s="88"/>
    </row>
    <row r="5" spans="2:29" ht="15.75" customHeight="1" x14ac:dyDescent="0.15">
      <c r="B5" s="70" t="s">
        <v>109</v>
      </c>
      <c r="D5" s="71" t="s">
        <v>152</v>
      </c>
      <c r="F5" s="70" t="s">
        <v>217</v>
      </c>
      <c r="H5" s="70" t="s">
        <v>97</v>
      </c>
      <c r="J5" s="70" t="s">
        <v>218</v>
      </c>
      <c r="L5" s="78" t="s">
        <v>219</v>
      </c>
      <c r="N5" s="78" t="s">
        <v>114</v>
      </c>
      <c r="P5" s="79" t="s">
        <v>115</v>
      </c>
      <c r="R5" s="79" t="s">
        <v>220</v>
      </c>
      <c r="T5" s="86" t="s">
        <v>221</v>
      </c>
      <c r="V5" s="78" t="s">
        <v>222</v>
      </c>
      <c r="X5" s="29" t="s">
        <v>223</v>
      </c>
      <c r="Y5" s="89"/>
      <c r="Z5" s="90"/>
      <c r="AA5" s="87"/>
      <c r="AB5" s="88"/>
      <c r="AC5" s="88"/>
    </row>
    <row r="6" spans="2:29" ht="15.75" customHeight="1" x14ac:dyDescent="0.15">
      <c r="B6" s="70"/>
      <c r="D6" s="71" t="s">
        <v>224</v>
      </c>
      <c r="F6" s="70" t="s">
        <v>225</v>
      </c>
      <c r="H6" s="70" t="s">
        <v>226</v>
      </c>
      <c r="J6" s="70" t="s">
        <v>98</v>
      </c>
      <c r="L6" s="78" t="s">
        <v>227</v>
      </c>
      <c r="N6" s="78" t="s">
        <v>228</v>
      </c>
      <c r="P6" s="79" t="s">
        <v>229</v>
      </c>
      <c r="R6" s="79" t="s">
        <v>230</v>
      </c>
      <c r="T6" s="86" t="s">
        <v>231</v>
      </c>
      <c r="V6" s="78" t="s">
        <v>35</v>
      </c>
      <c r="X6" s="31" t="s">
        <v>232</v>
      </c>
      <c r="Y6" s="90"/>
      <c r="Z6" s="90"/>
      <c r="AA6" s="87"/>
      <c r="AB6" s="88"/>
      <c r="AC6" s="88"/>
    </row>
    <row r="7" spans="2:29" ht="15.75" customHeight="1" x14ac:dyDescent="0.15">
      <c r="B7" s="70"/>
      <c r="D7" s="71" t="s">
        <v>233</v>
      </c>
      <c r="F7" s="70" t="s">
        <v>234</v>
      </c>
      <c r="H7" s="70" t="s">
        <v>235</v>
      </c>
      <c r="J7" s="70" t="s">
        <v>236</v>
      </c>
      <c r="L7" s="78" t="s">
        <v>237</v>
      </c>
      <c r="N7" s="78" t="s">
        <v>238</v>
      </c>
      <c r="P7" s="79" t="s">
        <v>239</v>
      </c>
      <c r="R7" s="79" t="s">
        <v>240</v>
      </c>
      <c r="T7" s="86" t="s">
        <v>241</v>
      </c>
      <c r="V7" s="78" t="s">
        <v>242</v>
      </c>
      <c r="X7" s="31" t="s">
        <v>243</v>
      </c>
      <c r="Y7" s="87"/>
      <c r="Z7" s="90"/>
      <c r="AA7" s="87"/>
      <c r="AB7" s="88"/>
      <c r="AC7" s="88"/>
    </row>
    <row r="8" spans="2:29" ht="15.75" customHeight="1" x14ac:dyDescent="0.15">
      <c r="B8" s="70"/>
      <c r="D8" s="71" t="s">
        <v>177</v>
      </c>
      <c r="F8" s="70" t="s">
        <v>244</v>
      </c>
      <c r="H8" s="70"/>
      <c r="J8" s="70" t="s">
        <v>245</v>
      </c>
      <c r="L8" s="78" t="s">
        <v>246</v>
      </c>
      <c r="N8" s="78" t="s">
        <v>247</v>
      </c>
      <c r="P8" s="79" t="s">
        <v>248</v>
      </c>
      <c r="R8" s="79" t="s">
        <v>249</v>
      </c>
      <c r="T8" s="86" t="s">
        <v>250</v>
      </c>
      <c r="V8" s="78" t="s">
        <v>251</v>
      </c>
      <c r="X8" s="31" t="s">
        <v>252</v>
      </c>
      <c r="Y8" s="88"/>
      <c r="Z8" s="88"/>
      <c r="AA8" s="88"/>
      <c r="AB8" s="88"/>
      <c r="AC8" s="88"/>
    </row>
    <row r="9" spans="2:29" ht="15.75" customHeight="1" x14ac:dyDescent="0.15">
      <c r="B9" s="70"/>
      <c r="D9" s="71" t="s">
        <v>126</v>
      </c>
      <c r="F9" s="70" t="s">
        <v>253</v>
      </c>
      <c r="H9" s="70" t="s">
        <v>254</v>
      </c>
      <c r="J9" s="70" t="s">
        <v>255</v>
      </c>
      <c r="L9" s="78" t="s">
        <v>110</v>
      </c>
      <c r="N9" s="78" t="s">
        <v>256</v>
      </c>
      <c r="P9" s="79" t="s">
        <v>257</v>
      </c>
      <c r="R9" s="79" t="s">
        <v>258</v>
      </c>
      <c r="T9" s="86" t="s">
        <v>259</v>
      </c>
      <c r="V9" s="78" t="s">
        <v>260</v>
      </c>
      <c r="X9" s="28" t="s">
        <v>261</v>
      </c>
      <c r="Y9" s="87"/>
      <c r="Z9" s="87"/>
      <c r="AA9" s="87"/>
      <c r="AB9" s="88"/>
      <c r="AC9" s="88"/>
    </row>
    <row r="10" spans="2:29" ht="15.75" customHeight="1" x14ac:dyDescent="0.15">
      <c r="B10" s="70"/>
      <c r="D10" s="71" t="s">
        <v>106</v>
      </c>
      <c r="F10" s="70" t="s">
        <v>262</v>
      </c>
      <c r="H10" s="70"/>
      <c r="J10" s="70"/>
      <c r="L10" s="78" t="s">
        <v>222</v>
      </c>
      <c r="N10" s="78" t="s">
        <v>263</v>
      </c>
      <c r="P10" s="79" t="s">
        <v>264</v>
      </c>
      <c r="R10" s="79" t="s">
        <v>265</v>
      </c>
      <c r="T10" s="86" t="s">
        <v>266</v>
      </c>
      <c r="V10" s="78" t="s">
        <v>267</v>
      </c>
      <c r="X10" s="28" t="s">
        <v>268</v>
      </c>
      <c r="Y10" s="87"/>
      <c r="Z10" s="87"/>
      <c r="AA10" s="87"/>
      <c r="AB10" s="88"/>
      <c r="AC10" s="88"/>
    </row>
    <row r="11" spans="2:29" ht="15.75" customHeight="1" x14ac:dyDescent="0.15">
      <c r="B11" s="70"/>
      <c r="D11" s="71" t="s">
        <v>116</v>
      </c>
      <c r="F11" s="70"/>
      <c r="H11" s="70"/>
      <c r="J11" s="70" t="s">
        <v>254</v>
      </c>
      <c r="L11" s="78" t="s">
        <v>35</v>
      </c>
      <c r="N11" s="78" t="s">
        <v>269</v>
      </c>
      <c r="P11" s="79" t="s">
        <v>270</v>
      </c>
      <c r="R11" s="79" t="s">
        <v>271</v>
      </c>
      <c r="T11" s="86" t="s">
        <v>272</v>
      </c>
      <c r="V11" s="78" t="s">
        <v>273</v>
      </c>
      <c r="X11" s="29" t="s">
        <v>274</v>
      </c>
      <c r="Y11" s="87"/>
      <c r="Z11" s="87"/>
      <c r="AA11" s="87"/>
      <c r="AB11" s="88"/>
      <c r="AC11" s="88"/>
    </row>
    <row r="12" spans="2:29" ht="15.75" customHeight="1" x14ac:dyDescent="0.15">
      <c r="B12" s="70"/>
      <c r="D12" s="71" t="s">
        <v>103</v>
      </c>
      <c r="F12" s="70" t="s">
        <v>254</v>
      </c>
      <c r="H12" s="70"/>
      <c r="J12" s="70"/>
      <c r="L12" s="78" t="s">
        <v>242</v>
      </c>
      <c r="N12" s="78" t="s">
        <v>180</v>
      </c>
      <c r="P12" s="79" t="s">
        <v>275</v>
      </c>
      <c r="R12" s="79" t="s">
        <v>276</v>
      </c>
      <c r="T12" s="86" t="s">
        <v>277</v>
      </c>
      <c r="V12" s="78" t="s">
        <v>278</v>
      </c>
      <c r="X12" s="29" t="s">
        <v>279</v>
      </c>
      <c r="Y12" s="87"/>
      <c r="Z12" s="87"/>
      <c r="AA12" s="87"/>
      <c r="AB12" s="88"/>
      <c r="AC12" s="88"/>
    </row>
    <row r="13" spans="2:29" ht="15.75" customHeight="1" x14ac:dyDescent="0.15">
      <c r="B13" s="70"/>
      <c r="D13" s="71"/>
      <c r="F13" s="70"/>
      <c r="H13" s="70"/>
      <c r="J13" s="70"/>
      <c r="L13" s="78" t="s">
        <v>251</v>
      </c>
      <c r="N13" s="78"/>
      <c r="P13" s="79" t="s">
        <v>280</v>
      </c>
      <c r="R13" s="79" t="s">
        <v>281</v>
      </c>
      <c r="T13" s="86" t="s">
        <v>282</v>
      </c>
      <c r="V13" s="78" t="s">
        <v>283</v>
      </c>
      <c r="X13" s="31" t="s">
        <v>232</v>
      </c>
      <c r="Y13" s="89"/>
      <c r="Z13" s="90"/>
      <c r="AA13" s="87"/>
      <c r="AB13" s="88"/>
      <c r="AC13" s="88"/>
    </row>
    <row r="14" spans="2:29" ht="15.75" customHeight="1" x14ac:dyDescent="0.15">
      <c r="B14" s="70"/>
      <c r="D14" s="71"/>
      <c r="F14" s="70"/>
      <c r="H14" s="70"/>
      <c r="J14" s="70"/>
      <c r="L14" s="78" t="s">
        <v>260</v>
      </c>
      <c r="N14" s="78"/>
      <c r="P14" s="79" t="s">
        <v>284</v>
      </c>
      <c r="R14" s="79"/>
      <c r="T14" s="86" t="s">
        <v>285</v>
      </c>
      <c r="V14" s="78" t="s">
        <v>286</v>
      </c>
      <c r="X14" s="32" t="s">
        <v>287</v>
      </c>
      <c r="Y14" s="90"/>
      <c r="Z14" s="90"/>
      <c r="AA14" s="87"/>
      <c r="AB14" s="88"/>
      <c r="AC14" s="88"/>
    </row>
    <row r="15" spans="2:29" ht="15.75" customHeight="1" x14ac:dyDescent="0.15">
      <c r="B15" s="70"/>
      <c r="D15" s="71"/>
      <c r="F15" s="70"/>
      <c r="H15" s="70"/>
      <c r="J15" s="70"/>
      <c r="L15" s="78" t="s">
        <v>267</v>
      </c>
      <c r="N15" s="78"/>
      <c r="P15" s="79" t="s">
        <v>288</v>
      </c>
      <c r="R15" s="79"/>
      <c r="T15" s="86" t="s">
        <v>289</v>
      </c>
      <c r="V15" s="78" t="s">
        <v>290</v>
      </c>
      <c r="X15" s="31" t="s">
        <v>291</v>
      </c>
      <c r="Y15" s="87"/>
      <c r="Z15" s="90"/>
      <c r="AA15" s="87"/>
      <c r="AB15" s="88"/>
      <c r="AC15" s="88"/>
    </row>
    <row r="16" spans="2:29" ht="15.75" customHeight="1" x14ac:dyDescent="0.15">
      <c r="B16" s="70"/>
      <c r="D16" s="71"/>
      <c r="F16" s="70"/>
      <c r="H16" s="70"/>
      <c r="J16" s="70"/>
      <c r="L16" s="78" t="s">
        <v>273</v>
      </c>
      <c r="N16" s="78"/>
      <c r="P16" s="79" t="s">
        <v>292</v>
      </c>
      <c r="R16" s="79"/>
      <c r="T16" s="86" t="s">
        <v>293</v>
      </c>
      <c r="V16" s="78"/>
      <c r="X16" s="31" t="s">
        <v>294</v>
      </c>
      <c r="Y16" s="88"/>
      <c r="Z16" s="90"/>
      <c r="AA16" s="88"/>
      <c r="AB16" s="88"/>
      <c r="AC16" s="88"/>
    </row>
    <row r="17" spans="2:22" ht="15.75" customHeight="1" x14ac:dyDescent="0.15">
      <c r="B17" s="70"/>
      <c r="D17" s="71"/>
      <c r="F17" s="70"/>
      <c r="H17" s="70"/>
      <c r="J17" s="70"/>
      <c r="L17" s="78" t="s">
        <v>278</v>
      </c>
      <c r="N17" s="78"/>
      <c r="P17" s="79" t="s">
        <v>295</v>
      </c>
      <c r="R17" s="79"/>
      <c r="T17" s="86" t="s">
        <v>296</v>
      </c>
      <c r="V17" s="78"/>
    </row>
    <row r="18" spans="2:22" ht="15.75" customHeight="1" x14ac:dyDescent="0.15">
      <c r="B18" s="70"/>
      <c r="D18" s="71"/>
      <c r="F18" s="70"/>
      <c r="H18" s="70"/>
      <c r="J18" s="70"/>
      <c r="L18" s="78" t="s">
        <v>283</v>
      </c>
      <c r="N18" s="78"/>
      <c r="P18" s="79" t="s">
        <v>297</v>
      </c>
      <c r="R18" s="79"/>
      <c r="T18" s="86" t="s">
        <v>298</v>
      </c>
      <c r="V18" s="78"/>
    </row>
    <row r="19" spans="2:22" x14ac:dyDescent="0.15">
      <c r="B19" s="70"/>
      <c r="D19" s="71"/>
      <c r="E19" s="72"/>
      <c r="F19" s="70"/>
      <c r="H19" s="70"/>
      <c r="J19" s="70"/>
      <c r="L19" s="78" t="s">
        <v>286</v>
      </c>
      <c r="N19" s="78"/>
      <c r="P19" s="79" t="s">
        <v>299</v>
      </c>
      <c r="R19" s="79"/>
      <c r="T19" s="86" t="s">
        <v>300</v>
      </c>
      <c r="V19" s="78"/>
    </row>
    <row r="20" spans="2:22" x14ac:dyDescent="0.15">
      <c r="B20" s="70"/>
      <c r="D20" s="71"/>
      <c r="F20" s="70"/>
      <c r="H20" s="70"/>
      <c r="J20" s="70"/>
      <c r="L20" s="78" t="s">
        <v>290</v>
      </c>
      <c r="N20" s="78"/>
      <c r="P20" s="79" t="s">
        <v>125</v>
      </c>
      <c r="R20" s="79"/>
      <c r="T20" s="86" t="s">
        <v>301</v>
      </c>
      <c r="V20" s="78"/>
    </row>
    <row r="21" spans="2:22" x14ac:dyDescent="0.15">
      <c r="B21" s="70"/>
      <c r="D21" s="71"/>
      <c r="F21" s="70"/>
      <c r="H21" s="70"/>
      <c r="J21" s="70"/>
      <c r="L21" s="78"/>
      <c r="N21" s="78"/>
      <c r="P21" s="79" t="s">
        <v>181</v>
      </c>
      <c r="R21" s="79"/>
      <c r="T21" s="86" t="s">
        <v>302</v>
      </c>
      <c r="V21" s="78"/>
    </row>
    <row r="22" spans="2:22" x14ac:dyDescent="0.15">
      <c r="B22" s="70"/>
      <c r="D22" s="71"/>
      <c r="F22" s="70"/>
      <c r="H22" s="70"/>
      <c r="J22" s="70"/>
      <c r="L22" s="78"/>
      <c r="N22" s="78"/>
      <c r="P22" s="79" t="s">
        <v>303</v>
      </c>
      <c r="R22" s="79"/>
      <c r="T22" s="86" t="s">
        <v>304</v>
      </c>
      <c r="V22" s="78"/>
    </row>
    <row r="23" spans="2:22" x14ac:dyDescent="0.15">
      <c r="B23" s="70"/>
      <c r="D23" s="71"/>
      <c r="F23" s="70"/>
      <c r="H23" s="70"/>
      <c r="J23" s="70"/>
      <c r="L23" s="78"/>
      <c r="N23" s="80"/>
      <c r="P23" s="81"/>
      <c r="R23" s="81"/>
      <c r="T23" s="86" t="s">
        <v>305</v>
      </c>
      <c r="V23" s="78"/>
    </row>
    <row r="24" spans="2:22" x14ac:dyDescent="0.15">
      <c r="B24" s="70"/>
      <c r="D24" s="71"/>
      <c r="F24" s="70"/>
      <c r="H24" s="70"/>
      <c r="J24" s="70"/>
      <c r="L24" s="78"/>
      <c r="N24" s="74" t="s">
        <v>306</v>
      </c>
      <c r="P24" s="74" t="s">
        <v>306</v>
      </c>
      <c r="R24" s="74" t="s">
        <v>306</v>
      </c>
      <c r="T24" s="86" t="s">
        <v>307</v>
      </c>
      <c r="V24" s="78"/>
    </row>
    <row r="25" spans="2:22" x14ac:dyDescent="0.15">
      <c r="B25" s="70"/>
      <c r="D25" s="71"/>
      <c r="F25" s="70"/>
      <c r="H25" s="70"/>
      <c r="J25" s="70"/>
      <c r="L25" s="82"/>
      <c r="T25" s="86" t="s">
        <v>308</v>
      </c>
      <c r="V25" s="82"/>
    </row>
    <row r="26" spans="2:22" x14ac:dyDescent="0.15">
      <c r="B26" s="70"/>
      <c r="D26" s="71"/>
      <c r="F26" s="70"/>
      <c r="H26" s="70"/>
      <c r="J26" s="70"/>
      <c r="L26" s="82"/>
      <c r="T26" s="86" t="s">
        <v>309</v>
      </c>
      <c r="V26" s="82"/>
    </row>
    <row r="27" spans="2:22" x14ac:dyDescent="0.15">
      <c r="B27" s="70"/>
      <c r="D27" s="71"/>
      <c r="F27" s="70"/>
      <c r="H27" s="70"/>
      <c r="J27" s="70"/>
      <c r="L27" s="82"/>
      <c r="T27" s="86" t="s">
        <v>310</v>
      </c>
      <c r="V27" s="82"/>
    </row>
    <row r="28" spans="2:22" x14ac:dyDescent="0.15">
      <c r="B28" s="70"/>
      <c r="D28" s="71"/>
      <c r="F28" s="70"/>
      <c r="H28" s="70"/>
      <c r="J28" s="70"/>
      <c r="L28" s="82"/>
      <c r="T28" s="86" t="s">
        <v>311</v>
      </c>
      <c r="V28" s="82"/>
    </row>
    <row r="29" spans="2:22" x14ac:dyDescent="0.15">
      <c r="B29" s="73"/>
      <c r="D29" s="73"/>
      <c r="F29" s="73"/>
      <c r="H29" s="73"/>
      <c r="J29" s="73"/>
      <c r="L29" s="83"/>
      <c r="T29" s="86" t="s">
        <v>312</v>
      </c>
      <c r="V29" s="83"/>
    </row>
    <row r="30" spans="2:22" ht="15.75" customHeight="1" x14ac:dyDescent="0.15">
      <c r="B30" s="74" t="s">
        <v>306</v>
      </c>
      <c r="D30" s="74" t="s">
        <v>306</v>
      </c>
      <c r="F30" s="74" t="s">
        <v>306</v>
      </c>
      <c r="H30" s="74" t="s">
        <v>306</v>
      </c>
      <c r="J30" s="74" t="s">
        <v>306</v>
      </c>
      <c r="L30" s="84" t="s">
        <v>306</v>
      </c>
      <c r="T30" s="86" t="s">
        <v>313</v>
      </c>
      <c r="V30" s="74" t="s">
        <v>306</v>
      </c>
    </row>
    <row r="31" spans="2:22" x14ac:dyDescent="0.15">
      <c r="T31" s="86" t="s">
        <v>314</v>
      </c>
    </row>
    <row r="32" spans="2:22" x14ac:dyDescent="0.15">
      <c r="T32" s="86" t="s">
        <v>315</v>
      </c>
    </row>
    <row r="33" spans="20:20" x14ac:dyDescent="0.15">
      <c r="T33" s="86" t="s">
        <v>316</v>
      </c>
    </row>
    <row r="34" spans="20:20" x14ac:dyDescent="0.15">
      <c r="T34" s="86" t="s">
        <v>317</v>
      </c>
    </row>
    <row r="35" spans="20:20" x14ac:dyDescent="0.15">
      <c r="T35" s="86" t="s">
        <v>318</v>
      </c>
    </row>
    <row r="36" spans="20:20" x14ac:dyDescent="0.15">
      <c r="T36" s="86" t="s">
        <v>319</v>
      </c>
    </row>
    <row r="37" spans="20:20" x14ac:dyDescent="0.15">
      <c r="T37" s="86" t="s">
        <v>320</v>
      </c>
    </row>
    <row r="38" spans="20:20" x14ac:dyDescent="0.15">
      <c r="T38" s="86" t="s">
        <v>321</v>
      </c>
    </row>
    <row r="39" spans="20:20" x14ac:dyDescent="0.15">
      <c r="T39" s="86" t="s">
        <v>322</v>
      </c>
    </row>
    <row r="40" spans="20:20" x14ac:dyDescent="0.15">
      <c r="T40" s="86" t="s">
        <v>323</v>
      </c>
    </row>
    <row r="41" spans="20:20" x14ac:dyDescent="0.15">
      <c r="T41" s="86" t="s">
        <v>324</v>
      </c>
    </row>
    <row r="42" spans="20:20" x14ac:dyDescent="0.15">
      <c r="T42" s="86" t="s">
        <v>325</v>
      </c>
    </row>
    <row r="43" spans="20:20" x14ac:dyDescent="0.15">
      <c r="T43" s="86" t="s">
        <v>326</v>
      </c>
    </row>
    <row r="44" spans="20:20" x14ac:dyDescent="0.15">
      <c r="T44" s="86" t="s">
        <v>327</v>
      </c>
    </row>
    <row r="45" spans="20:20" x14ac:dyDescent="0.15">
      <c r="T45" s="86" t="s">
        <v>328</v>
      </c>
    </row>
    <row r="46" spans="20:20" x14ac:dyDescent="0.15">
      <c r="T46" s="86" t="s">
        <v>329</v>
      </c>
    </row>
    <row r="47" spans="20:20" x14ac:dyDescent="0.15">
      <c r="T47" s="86" t="s">
        <v>330</v>
      </c>
    </row>
    <row r="48" spans="20:20" x14ac:dyDescent="0.15">
      <c r="T48" s="86" t="s">
        <v>331</v>
      </c>
    </row>
    <row r="49" spans="20:20" x14ac:dyDescent="0.15">
      <c r="T49" s="86" t="s">
        <v>332</v>
      </c>
    </row>
    <row r="50" spans="20:20" x14ac:dyDescent="0.15">
      <c r="T50" s="86" t="s">
        <v>333</v>
      </c>
    </row>
    <row r="51" spans="20:20" x14ac:dyDescent="0.15">
      <c r="T51" s="86" t="s">
        <v>334</v>
      </c>
    </row>
    <row r="52" spans="20:20" x14ac:dyDescent="0.15">
      <c r="T52" s="86" t="s">
        <v>335</v>
      </c>
    </row>
    <row r="53" spans="20:20" x14ac:dyDescent="0.15">
      <c r="T53" s="86" t="s">
        <v>336</v>
      </c>
    </row>
    <row r="54" spans="20:20" x14ac:dyDescent="0.15">
      <c r="T54" s="86" t="s">
        <v>337</v>
      </c>
    </row>
    <row r="55" spans="20:20" x14ac:dyDescent="0.15">
      <c r="T55" s="86" t="s">
        <v>338</v>
      </c>
    </row>
    <row r="56" spans="20:20" x14ac:dyDescent="0.15">
      <c r="T56" s="86" t="s">
        <v>339</v>
      </c>
    </row>
    <row r="57" spans="20:20" x14ac:dyDescent="0.15">
      <c r="T57" s="86" t="s">
        <v>340</v>
      </c>
    </row>
    <row r="58" spans="20:20" x14ac:dyDescent="0.15">
      <c r="T58" s="86" t="s">
        <v>341</v>
      </c>
    </row>
    <row r="59" spans="20:20" x14ac:dyDescent="0.15">
      <c r="T59" s="86" t="s">
        <v>342</v>
      </c>
    </row>
    <row r="60" spans="20:20" x14ac:dyDescent="0.15">
      <c r="T60" s="86" t="s">
        <v>343</v>
      </c>
    </row>
    <row r="61" spans="20:20" x14ac:dyDescent="0.15">
      <c r="T61" s="86" t="s">
        <v>344</v>
      </c>
    </row>
    <row r="62" spans="20:20" x14ac:dyDescent="0.15">
      <c r="T62" s="86" t="s">
        <v>345</v>
      </c>
    </row>
    <row r="63" spans="20:20" x14ac:dyDescent="0.15">
      <c r="T63" s="86" t="s">
        <v>346</v>
      </c>
    </row>
    <row r="64" spans="20:20" x14ac:dyDescent="0.15">
      <c r="T64" s="86" t="s">
        <v>347</v>
      </c>
    </row>
    <row r="65" spans="20:20" x14ac:dyDescent="0.15">
      <c r="T65" s="86" t="s">
        <v>348</v>
      </c>
    </row>
    <row r="66" spans="20:20" x14ac:dyDescent="0.15">
      <c r="T66" s="86" t="s">
        <v>349</v>
      </c>
    </row>
    <row r="67" spans="20:20" x14ac:dyDescent="0.15">
      <c r="T67" s="86" t="s">
        <v>350</v>
      </c>
    </row>
    <row r="68" spans="20:20" x14ac:dyDescent="0.15">
      <c r="T68" s="86" t="s">
        <v>351</v>
      </c>
    </row>
    <row r="69" spans="20:20" x14ac:dyDescent="0.15">
      <c r="T69" s="86" t="s">
        <v>352</v>
      </c>
    </row>
    <row r="70" spans="20:20" x14ac:dyDescent="0.15">
      <c r="T70" s="86" t="s">
        <v>353</v>
      </c>
    </row>
    <row r="71" spans="20:20" x14ac:dyDescent="0.15">
      <c r="T71" s="86" t="s">
        <v>354</v>
      </c>
    </row>
    <row r="72" spans="20:20" x14ac:dyDescent="0.15">
      <c r="T72" s="86" t="s">
        <v>355</v>
      </c>
    </row>
    <row r="73" spans="20:20" x14ac:dyDescent="0.15">
      <c r="T73" s="86" t="s">
        <v>356</v>
      </c>
    </row>
    <row r="74" spans="20:20" x14ac:dyDescent="0.15">
      <c r="T74" s="86" t="s">
        <v>357</v>
      </c>
    </row>
    <row r="75" spans="20:20" x14ac:dyDescent="0.15">
      <c r="T75" s="86" t="s">
        <v>358</v>
      </c>
    </row>
    <row r="76" spans="20:20" x14ac:dyDescent="0.15">
      <c r="T76" s="86" t="s">
        <v>359</v>
      </c>
    </row>
    <row r="77" spans="20:20" x14ac:dyDescent="0.15">
      <c r="T77" s="86" t="s">
        <v>360</v>
      </c>
    </row>
    <row r="78" spans="20:20" x14ac:dyDescent="0.15">
      <c r="T78" s="86" t="s">
        <v>361</v>
      </c>
    </row>
    <row r="79" spans="20:20" x14ac:dyDescent="0.15">
      <c r="T79" s="86" t="s">
        <v>362</v>
      </c>
    </row>
    <row r="80" spans="20:20" x14ac:dyDescent="0.15">
      <c r="T80" s="86" t="s">
        <v>363</v>
      </c>
    </row>
    <row r="81" spans="20:20" x14ac:dyDescent="0.15">
      <c r="T81" s="86" t="s">
        <v>364</v>
      </c>
    </row>
    <row r="82" spans="20:20" x14ac:dyDescent="0.15">
      <c r="T82" s="86" t="s">
        <v>365</v>
      </c>
    </row>
    <row r="83" spans="20:20" x14ac:dyDescent="0.15">
      <c r="T83" s="86" t="s">
        <v>366</v>
      </c>
    </row>
    <row r="84" spans="20:20" x14ac:dyDescent="0.15">
      <c r="T84" s="86" t="s">
        <v>367</v>
      </c>
    </row>
    <row r="85" spans="20:20" x14ac:dyDescent="0.15">
      <c r="T85" s="86" t="s">
        <v>368</v>
      </c>
    </row>
    <row r="86" spans="20:20" x14ac:dyDescent="0.15">
      <c r="T86" s="86" t="s">
        <v>369</v>
      </c>
    </row>
    <row r="87" spans="20:20" x14ac:dyDescent="0.15">
      <c r="T87" s="86" t="s">
        <v>370</v>
      </c>
    </row>
    <row r="88" spans="20:20" x14ac:dyDescent="0.15">
      <c r="T88" s="86" t="s">
        <v>371</v>
      </c>
    </row>
    <row r="89" spans="20:20" x14ac:dyDescent="0.15">
      <c r="T89" s="86" t="s">
        <v>372</v>
      </c>
    </row>
    <row r="90" spans="20:20" x14ac:dyDescent="0.15">
      <c r="T90" s="86" t="s">
        <v>373</v>
      </c>
    </row>
    <row r="91" spans="20:20" x14ac:dyDescent="0.15">
      <c r="T91" s="86" t="s">
        <v>374</v>
      </c>
    </row>
    <row r="92" spans="20:20" x14ac:dyDescent="0.15">
      <c r="T92" s="86" t="s">
        <v>375</v>
      </c>
    </row>
    <row r="93" spans="20:20" x14ac:dyDescent="0.15">
      <c r="T93" s="86" t="s">
        <v>376</v>
      </c>
    </row>
    <row r="94" spans="20:20" x14ac:dyDescent="0.15">
      <c r="T94" s="86" t="s">
        <v>377</v>
      </c>
    </row>
    <row r="95" spans="20:20" x14ac:dyDescent="0.15">
      <c r="T95" s="86" t="s">
        <v>378</v>
      </c>
    </row>
    <row r="96" spans="20:20" x14ac:dyDescent="0.15">
      <c r="T96" s="86" t="s">
        <v>379</v>
      </c>
    </row>
    <row r="97" spans="20:20" x14ac:dyDescent="0.15">
      <c r="T97" s="86" t="s">
        <v>380</v>
      </c>
    </row>
    <row r="98" spans="20:20" x14ac:dyDescent="0.15">
      <c r="T98" s="86" t="s">
        <v>381</v>
      </c>
    </row>
    <row r="99" spans="20:20" x14ac:dyDescent="0.15">
      <c r="T99" s="86" t="s">
        <v>382</v>
      </c>
    </row>
    <row r="100" spans="20:20" x14ac:dyDescent="0.15">
      <c r="T100" s="86" t="s">
        <v>383</v>
      </c>
    </row>
    <row r="101" spans="20:20" x14ac:dyDescent="0.15">
      <c r="T101" s="86" t="s">
        <v>384</v>
      </c>
    </row>
    <row r="102" spans="20:20" x14ac:dyDescent="0.15">
      <c r="T102" s="91" t="s">
        <v>385</v>
      </c>
    </row>
    <row r="103" spans="20:20" x14ac:dyDescent="0.15">
      <c r="T103" s="74" t="s">
        <v>306</v>
      </c>
    </row>
  </sheetData>
  <phoneticPr fontId="38"/>
  <dataValidations count="1">
    <dataValidation type="textLength" operator="lessThanOrEqual" allowBlank="1" showInputMessage="1" showErrorMessage="1" sqref="N3:N23 P3:P23" xr:uid="{00000000-0002-0000-0300-000000000000}">
      <formula1>40</formula1>
    </dataValidation>
  </dataValidations>
  <pageMargins left="0.70866141732283505" right="0.70866141732283505" top="0.74803149606299202" bottom="0.74803149606299202" header="0.31496062992126" footer="0.31496062992126"/>
  <pageSetup paperSize="9" scale="60" fitToHeight="0" orientation="landscape"/>
  <headerFooter>
    <oddFooter>&amp;L&amp;"Meiryo UI,標準"FUJITSU CONFIDENTIAL&amp;R&amp;"Meiryo UI,標準"All Rights Reserved, Copyright (C) 富士通株式会社 2017</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autoPict="0" macro="[0]!TableRangeSetting.TableRangeSetting" altText="範囲指定の反映">
                <anchor moveWithCells="1" sizeWithCells="1">
                  <from>
                    <xdr:col>0</xdr:col>
                    <xdr:colOff>66675</xdr:colOff>
                    <xdr:row>0</xdr:row>
                    <xdr:rowOff>47625</xdr:rowOff>
                  </from>
                  <to>
                    <xdr:col>1</xdr:col>
                    <xdr:colOff>1400175</xdr:colOff>
                    <xdr:row>0</xdr:row>
                    <xdr:rowOff>390525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pageSetUpPr fitToPage="1"/>
  </sheetPr>
  <dimension ref="B6:J30"/>
  <sheetViews>
    <sheetView showGridLines="0" zoomScale="85" zoomScaleNormal="85" zoomScaleSheetLayoutView="85" zoomScalePageLayoutView="85" workbookViewId="0"/>
  </sheetViews>
  <sheetFormatPr defaultColWidth="9" defaultRowHeight="15.75" x14ac:dyDescent="0.15"/>
  <cols>
    <col min="1" max="1" width="2.625" style="33" customWidth="1"/>
    <col min="2" max="2" width="17.375" style="33" customWidth="1"/>
    <col min="3" max="3" width="29.875" style="33" customWidth="1"/>
    <col min="4" max="4" width="76.875" style="33" customWidth="1"/>
    <col min="5" max="5" width="30.375" style="33" customWidth="1"/>
    <col min="6" max="6" width="22.375" style="33" customWidth="1"/>
    <col min="7" max="16384" width="9" style="33"/>
  </cols>
  <sheetData>
    <row r="6" spans="2:10" x14ac:dyDescent="0.15">
      <c r="B6" s="34" t="s">
        <v>386</v>
      </c>
      <c r="D6" s="35" t="s">
        <v>387</v>
      </c>
    </row>
    <row r="7" spans="2:10" x14ac:dyDescent="0.15">
      <c r="B7" s="36" t="s">
        <v>388</v>
      </c>
      <c r="C7" s="179" t="s">
        <v>389</v>
      </c>
      <c r="D7" s="180"/>
      <c r="E7" s="181" t="s">
        <v>390</v>
      </c>
      <c r="F7" s="181"/>
      <c r="H7" s="21"/>
      <c r="I7" s="20"/>
      <c r="J7" s="20"/>
    </row>
    <row r="8" spans="2:10" x14ac:dyDescent="0.15">
      <c r="B8" s="37" t="s">
        <v>77</v>
      </c>
      <c r="C8" s="38" t="s">
        <v>78</v>
      </c>
      <c r="D8" s="39" t="s">
        <v>391</v>
      </c>
      <c r="E8" s="40" t="s">
        <v>79</v>
      </c>
      <c r="F8" s="41" t="s">
        <v>392</v>
      </c>
      <c r="H8" s="20"/>
      <c r="I8" s="20"/>
      <c r="J8" s="20"/>
    </row>
    <row r="9" spans="2:10" hidden="1" x14ac:dyDescent="0.15">
      <c r="B9" s="42" t="s">
        <v>393</v>
      </c>
      <c r="C9" s="43"/>
      <c r="D9" s="44"/>
      <c r="E9" s="45"/>
      <c r="F9" s="46"/>
      <c r="H9" s="20"/>
      <c r="I9" s="62"/>
      <c r="J9" s="30"/>
    </row>
    <row r="10" spans="2:10" x14ac:dyDescent="0.15">
      <c r="B10" s="47" t="s">
        <v>394</v>
      </c>
      <c r="C10" s="48" t="s">
        <v>395</v>
      </c>
      <c r="D10" s="49" t="s">
        <v>396</v>
      </c>
      <c r="E10" s="50"/>
      <c r="F10" s="51" t="s">
        <v>113</v>
      </c>
      <c r="H10" s="28" t="s">
        <v>207</v>
      </c>
      <c r="I10" s="30"/>
      <c r="J10" s="30"/>
    </row>
    <row r="11" spans="2:10" x14ac:dyDescent="0.15">
      <c r="B11" s="52" t="s">
        <v>394</v>
      </c>
      <c r="C11" s="48" t="s">
        <v>397</v>
      </c>
      <c r="D11" s="49" t="s">
        <v>398</v>
      </c>
      <c r="E11" s="50" t="s">
        <v>113</v>
      </c>
      <c r="F11" s="51" t="s">
        <v>113</v>
      </c>
      <c r="H11" s="29" t="s">
        <v>216</v>
      </c>
      <c r="I11" s="20"/>
      <c r="J11" s="20"/>
    </row>
    <row r="12" spans="2:10" x14ac:dyDescent="0.15">
      <c r="B12" s="52" t="s">
        <v>394</v>
      </c>
      <c r="C12" s="48" t="s">
        <v>399</v>
      </c>
      <c r="D12" s="49" t="s">
        <v>400</v>
      </c>
      <c r="E12" s="50" t="s">
        <v>113</v>
      </c>
      <c r="F12" s="51" t="s">
        <v>113</v>
      </c>
      <c r="H12" s="31" t="s">
        <v>232</v>
      </c>
      <c r="I12" s="20"/>
      <c r="J12" s="20"/>
    </row>
    <row r="13" spans="2:10" ht="31.5" x14ac:dyDescent="0.15">
      <c r="B13" s="52" t="s">
        <v>394</v>
      </c>
      <c r="C13" s="48" t="s">
        <v>401</v>
      </c>
      <c r="D13" s="49" t="s">
        <v>402</v>
      </c>
      <c r="E13" s="50" t="s">
        <v>113</v>
      </c>
      <c r="F13" s="51" t="s">
        <v>113</v>
      </c>
      <c r="H13" s="31" t="s">
        <v>403</v>
      </c>
      <c r="I13" s="20"/>
      <c r="J13" s="20"/>
    </row>
    <row r="14" spans="2:10" x14ac:dyDescent="0.15">
      <c r="B14" s="52" t="s">
        <v>394</v>
      </c>
      <c r="C14" s="48" t="s">
        <v>404</v>
      </c>
      <c r="D14" s="49" t="s">
        <v>405</v>
      </c>
      <c r="E14" s="50" t="s">
        <v>113</v>
      </c>
      <c r="F14" s="51" t="s">
        <v>113</v>
      </c>
      <c r="H14" s="28" t="s">
        <v>261</v>
      </c>
      <c r="I14" s="20"/>
      <c r="J14" s="20"/>
    </row>
    <row r="15" spans="2:10" x14ac:dyDescent="0.15">
      <c r="B15" s="53" t="s">
        <v>111</v>
      </c>
      <c r="C15" s="48" t="s">
        <v>406</v>
      </c>
      <c r="D15" s="49" t="s">
        <v>407</v>
      </c>
      <c r="E15" s="50" t="s">
        <v>113</v>
      </c>
      <c r="F15" s="51" t="s">
        <v>113</v>
      </c>
      <c r="H15" s="28" t="s">
        <v>268</v>
      </c>
      <c r="I15" s="20"/>
      <c r="J15" s="20"/>
    </row>
    <row r="16" spans="2:10" x14ac:dyDescent="0.15">
      <c r="B16" s="53" t="s">
        <v>111</v>
      </c>
      <c r="C16" s="48" t="s">
        <v>112</v>
      </c>
      <c r="D16" s="49" t="s">
        <v>408</v>
      </c>
      <c r="E16" s="50" t="s">
        <v>113</v>
      </c>
      <c r="F16" s="51" t="s">
        <v>113</v>
      </c>
      <c r="H16" s="29" t="s">
        <v>274</v>
      </c>
      <c r="I16" s="62"/>
      <c r="J16" s="30"/>
    </row>
    <row r="17" spans="2:10" x14ac:dyDescent="0.15">
      <c r="B17" s="53" t="s">
        <v>111</v>
      </c>
      <c r="C17" s="48" t="s">
        <v>409</v>
      </c>
      <c r="D17" s="49" t="s">
        <v>410</v>
      </c>
      <c r="E17" s="50" t="s">
        <v>113</v>
      </c>
      <c r="F17" s="51" t="s">
        <v>113</v>
      </c>
      <c r="H17" s="31" t="s">
        <v>232</v>
      </c>
      <c r="I17" s="30"/>
      <c r="J17" s="30"/>
    </row>
    <row r="18" spans="2:10" x14ac:dyDescent="0.15">
      <c r="B18" s="53" t="s">
        <v>111</v>
      </c>
      <c r="C18" s="48" t="s">
        <v>411</v>
      </c>
      <c r="D18" s="49" t="s">
        <v>412</v>
      </c>
      <c r="E18" s="50" t="s">
        <v>113</v>
      </c>
      <c r="F18" s="51" t="s">
        <v>113</v>
      </c>
      <c r="H18" s="32" t="s">
        <v>287</v>
      </c>
      <c r="I18" s="20"/>
      <c r="J18" s="30"/>
    </row>
    <row r="19" spans="2:10" x14ac:dyDescent="0.15">
      <c r="B19" s="53" t="s">
        <v>111</v>
      </c>
      <c r="C19" s="48" t="s">
        <v>413</v>
      </c>
      <c r="D19" s="49" t="s">
        <v>414</v>
      </c>
      <c r="E19" s="50" t="s">
        <v>113</v>
      </c>
      <c r="F19" s="51" t="s">
        <v>113</v>
      </c>
      <c r="H19" s="31" t="s">
        <v>415</v>
      </c>
    </row>
    <row r="20" spans="2:10" x14ac:dyDescent="0.15">
      <c r="B20" s="53" t="s">
        <v>123</v>
      </c>
      <c r="C20" s="48" t="s">
        <v>124</v>
      </c>
      <c r="D20" s="49" t="s">
        <v>416</v>
      </c>
      <c r="E20" s="50" t="s">
        <v>113</v>
      </c>
      <c r="F20" s="51" t="s">
        <v>113</v>
      </c>
    </row>
    <row r="21" spans="2:10" x14ac:dyDescent="0.15">
      <c r="B21" s="53" t="s">
        <v>123</v>
      </c>
      <c r="C21" s="48" t="s">
        <v>417</v>
      </c>
      <c r="D21" s="49" t="s">
        <v>418</v>
      </c>
      <c r="E21" s="50" t="s">
        <v>113</v>
      </c>
      <c r="F21" s="51" t="s">
        <v>113</v>
      </c>
    </row>
    <row r="22" spans="2:10" x14ac:dyDescent="0.15">
      <c r="B22" s="53" t="s">
        <v>419</v>
      </c>
      <c r="C22" s="48" t="s">
        <v>420</v>
      </c>
      <c r="D22" s="49" t="s">
        <v>421</v>
      </c>
      <c r="E22" s="50" t="s">
        <v>113</v>
      </c>
      <c r="F22" s="51" t="s">
        <v>113</v>
      </c>
    </row>
    <row r="23" spans="2:10" x14ac:dyDescent="0.15">
      <c r="B23" s="53" t="s">
        <v>419</v>
      </c>
      <c r="C23" s="48" t="s">
        <v>422</v>
      </c>
      <c r="D23" s="49" t="s">
        <v>423</v>
      </c>
      <c r="E23" s="50" t="s">
        <v>113</v>
      </c>
      <c r="F23" s="51" t="s">
        <v>113</v>
      </c>
    </row>
    <row r="24" spans="2:10" x14ac:dyDescent="0.15">
      <c r="B24" s="53" t="s">
        <v>419</v>
      </c>
      <c r="C24" s="48" t="s">
        <v>424</v>
      </c>
      <c r="D24" s="49" t="s">
        <v>425</v>
      </c>
      <c r="E24" s="50" t="s">
        <v>113</v>
      </c>
      <c r="F24" s="51" t="s">
        <v>113</v>
      </c>
    </row>
    <row r="25" spans="2:10" ht="31.5" x14ac:dyDescent="0.15">
      <c r="B25" s="53" t="s">
        <v>426</v>
      </c>
      <c r="C25" s="48" t="s">
        <v>427</v>
      </c>
      <c r="D25" s="49" t="s">
        <v>428</v>
      </c>
      <c r="E25" s="50" t="s">
        <v>113</v>
      </c>
      <c r="F25" s="51" t="s">
        <v>113</v>
      </c>
    </row>
    <row r="26" spans="2:10" x14ac:dyDescent="0.15">
      <c r="B26" s="53" t="s">
        <v>429</v>
      </c>
      <c r="C26" s="48" t="s">
        <v>430</v>
      </c>
      <c r="D26" s="49" t="s">
        <v>431</v>
      </c>
      <c r="E26" s="50" t="s">
        <v>113</v>
      </c>
      <c r="F26" s="51" t="s">
        <v>113</v>
      </c>
    </row>
    <row r="27" spans="2:10" x14ac:dyDescent="0.15">
      <c r="B27" s="52" t="s">
        <v>432</v>
      </c>
      <c r="C27" s="48" t="s">
        <v>433</v>
      </c>
      <c r="D27" s="49" t="s">
        <v>434</v>
      </c>
      <c r="E27" s="50" t="s">
        <v>113</v>
      </c>
      <c r="F27" s="51" t="s">
        <v>113</v>
      </c>
    </row>
    <row r="28" spans="2:10" x14ac:dyDescent="0.15">
      <c r="B28" s="53" t="s">
        <v>178</v>
      </c>
      <c r="C28" s="48" t="s">
        <v>179</v>
      </c>
      <c r="D28" s="49" t="s">
        <v>435</v>
      </c>
      <c r="E28" s="50" t="s">
        <v>113</v>
      </c>
      <c r="F28" s="51" t="s">
        <v>113</v>
      </c>
    </row>
    <row r="29" spans="2:10" x14ac:dyDescent="0.15">
      <c r="B29" s="54" t="s">
        <v>178</v>
      </c>
      <c r="C29" s="55" t="s">
        <v>436</v>
      </c>
      <c r="D29" s="56" t="s">
        <v>437</v>
      </c>
      <c r="E29" s="57" t="s">
        <v>113</v>
      </c>
      <c r="F29" s="58" t="s">
        <v>113</v>
      </c>
    </row>
    <row r="30" spans="2:10" ht="29.25" customHeight="1" x14ac:dyDescent="0.15">
      <c r="B30" s="59" t="s">
        <v>438</v>
      </c>
      <c r="C30" s="60"/>
      <c r="D30" s="60"/>
      <c r="E30" s="60"/>
      <c r="F30" s="61"/>
    </row>
  </sheetData>
  <mergeCells count="2">
    <mergeCell ref="C7:D7"/>
    <mergeCell ref="E7:F7"/>
  </mergeCells>
  <phoneticPr fontId="38"/>
  <dataValidations count="1">
    <dataValidation type="textLength" operator="lessThanOrEqual" allowBlank="1" showInputMessage="1" showErrorMessage="1" sqref="E9:E29 B9:C29" xr:uid="{00000000-0002-0000-0400-000000000000}">
      <formula1>40</formula1>
    </dataValidation>
  </dataValidations>
  <pageMargins left="0.70866141732283505" right="0.70866141732283505" top="0.74803149606299202" bottom="0.74803149606299202" header="0.31496062992126" footer="0.31496062992126"/>
  <pageSetup paperSize="9" scale="70" fitToHeight="0" orientation="landscape"/>
  <headerFooter>
    <oddFooter>&amp;L&amp;"Meiryo UI,標準"FUJITSU CONFIDENTIAL&amp;R&amp;"Meiryo UI,標準"All Rights Reserved, Copyright (C) 富士通株式会社 2017</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73" r:id="rId3" name="CancelButton">
              <controlPr defaultSize="0" autoPict="0" macro="[0]!Sheet7.CancelButton_Click">
                <anchor moveWithCells="1" sizeWithCells="1">
                  <from>
                    <xdr:col>0</xdr:col>
                    <xdr:colOff>76200</xdr:colOff>
                    <xdr:row>0</xdr:row>
                    <xdr:rowOff>76200</xdr:rowOff>
                  </from>
                  <to>
                    <xdr:col>1</xdr:col>
                    <xdr:colOff>1295400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D1:N20"/>
  <sheetViews>
    <sheetView showGridLines="0" zoomScale="85" zoomScaleNormal="85" zoomScaleSheetLayoutView="85" zoomScalePageLayoutView="85" workbookViewId="0"/>
  </sheetViews>
  <sheetFormatPr defaultColWidth="8" defaultRowHeight="15.75" x14ac:dyDescent="0.15"/>
  <cols>
    <col min="1" max="3" width="6.625" style="20" customWidth="1"/>
    <col min="4" max="4" width="23.625" style="20" customWidth="1"/>
    <col min="5" max="5" width="23.875" style="20" customWidth="1"/>
    <col min="6" max="6" width="31.375" style="20" customWidth="1"/>
    <col min="7" max="8" width="2.625" style="20" customWidth="1"/>
    <col min="9" max="9" width="14.375" style="20" customWidth="1"/>
    <col min="10" max="15" width="8" style="20"/>
    <col min="16" max="16" width="8.875" style="20" customWidth="1"/>
    <col min="17" max="16384" width="8" style="20"/>
  </cols>
  <sheetData>
    <row r="1" spans="4:14" x14ac:dyDescent="0.15">
      <c r="D1" s="21"/>
    </row>
    <row r="2" spans="4:14" x14ac:dyDescent="0.15">
      <c r="D2" s="22" t="s">
        <v>29</v>
      </c>
      <c r="E2" s="22" t="s">
        <v>439</v>
      </c>
      <c r="F2" s="22" t="s">
        <v>440</v>
      </c>
      <c r="H2" s="21"/>
    </row>
    <row r="3" spans="4:14" x14ac:dyDescent="0.15">
      <c r="D3" s="23" t="s">
        <v>441</v>
      </c>
      <c r="E3" s="23" t="s">
        <v>442</v>
      </c>
      <c r="F3" s="23" t="s">
        <v>443</v>
      </c>
      <c r="G3" s="24"/>
      <c r="I3" s="28" t="s">
        <v>207</v>
      </c>
      <c r="L3" s="24"/>
      <c r="M3" s="24"/>
    </row>
    <row r="4" spans="4:14" x14ac:dyDescent="0.15">
      <c r="D4" s="23" t="s">
        <v>441</v>
      </c>
      <c r="E4" s="23" t="s">
        <v>442</v>
      </c>
      <c r="F4" s="23" t="s">
        <v>444</v>
      </c>
      <c r="G4" s="24"/>
      <c r="I4" s="29" t="s">
        <v>216</v>
      </c>
      <c r="J4" s="30"/>
      <c r="L4" s="24"/>
      <c r="M4" s="24"/>
    </row>
    <row r="5" spans="4:14" x14ac:dyDescent="0.15">
      <c r="D5" s="23" t="s">
        <v>441</v>
      </c>
      <c r="E5" s="23" t="s">
        <v>442</v>
      </c>
      <c r="F5" s="23" t="s">
        <v>445</v>
      </c>
      <c r="I5" s="31" t="s">
        <v>232</v>
      </c>
      <c r="J5" s="30"/>
    </row>
    <row r="6" spans="4:14" x14ac:dyDescent="0.15">
      <c r="D6" s="25" t="s">
        <v>441</v>
      </c>
      <c r="E6" s="25" t="s">
        <v>446</v>
      </c>
      <c r="F6" s="25" t="s">
        <v>447</v>
      </c>
      <c r="G6" s="24"/>
      <c r="I6" s="31" t="s">
        <v>403</v>
      </c>
      <c r="L6" s="21"/>
      <c r="M6" s="24"/>
      <c r="N6" s="24"/>
    </row>
    <row r="7" spans="4:14" x14ac:dyDescent="0.15">
      <c r="D7" s="25" t="s">
        <v>441</v>
      </c>
      <c r="E7" s="25" t="s">
        <v>446</v>
      </c>
      <c r="F7" s="25" t="s">
        <v>448</v>
      </c>
      <c r="G7" s="24"/>
      <c r="H7" s="21"/>
      <c r="I7" s="28" t="s">
        <v>261</v>
      </c>
    </row>
    <row r="8" spans="4:14" x14ac:dyDescent="0.15">
      <c r="D8" s="25" t="s">
        <v>441</v>
      </c>
      <c r="E8" s="25" t="s">
        <v>446</v>
      </c>
      <c r="F8" s="25" t="s">
        <v>449</v>
      </c>
      <c r="G8" s="24"/>
      <c r="I8" s="28" t="s">
        <v>268</v>
      </c>
      <c r="L8" s="24"/>
      <c r="M8" s="24"/>
    </row>
    <row r="9" spans="4:14" x14ac:dyDescent="0.15">
      <c r="D9" s="25" t="s">
        <v>441</v>
      </c>
      <c r="E9" s="25" t="s">
        <v>450</v>
      </c>
      <c r="F9" s="25" t="s">
        <v>451</v>
      </c>
      <c r="G9" s="24"/>
      <c r="I9" s="29" t="s">
        <v>274</v>
      </c>
      <c r="M9" s="24"/>
    </row>
    <row r="10" spans="4:14" x14ac:dyDescent="0.15">
      <c r="D10" s="25" t="s">
        <v>441</v>
      </c>
      <c r="E10" s="25" t="s">
        <v>450</v>
      </c>
      <c r="F10" s="25" t="s">
        <v>452</v>
      </c>
      <c r="G10" s="24"/>
      <c r="I10" s="29" t="s">
        <v>279</v>
      </c>
      <c r="M10" s="24"/>
    </row>
    <row r="11" spans="4:14" x14ac:dyDescent="0.15">
      <c r="D11" s="23" t="s">
        <v>441</v>
      </c>
      <c r="E11" s="23" t="s">
        <v>450</v>
      </c>
      <c r="F11" s="23" t="s">
        <v>453</v>
      </c>
      <c r="I11" s="31" t="s">
        <v>232</v>
      </c>
      <c r="J11" s="30"/>
    </row>
    <row r="12" spans="4:14" x14ac:dyDescent="0.15">
      <c r="D12" s="25" t="s">
        <v>454</v>
      </c>
      <c r="E12" s="25" t="s">
        <v>455</v>
      </c>
      <c r="F12" s="25" t="s">
        <v>456</v>
      </c>
      <c r="G12" s="24"/>
      <c r="I12" s="32" t="s">
        <v>287</v>
      </c>
      <c r="J12" s="30"/>
      <c r="M12" s="24"/>
      <c r="N12" s="24"/>
    </row>
    <row r="13" spans="4:14" x14ac:dyDescent="0.15">
      <c r="D13" s="25" t="s">
        <v>454</v>
      </c>
      <c r="E13" s="25" t="s">
        <v>455</v>
      </c>
      <c r="F13" s="25" t="s">
        <v>457</v>
      </c>
      <c r="G13" s="24"/>
      <c r="H13" s="21"/>
      <c r="I13" s="31" t="s">
        <v>458</v>
      </c>
      <c r="J13" s="30"/>
    </row>
    <row r="14" spans="4:14" x14ac:dyDescent="0.15">
      <c r="D14" s="25" t="s">
        <v>454</v>
      </c>
      <c r="E14" s="25" t="s">
        <v>455</v>
      </c>
      <c r="F14" s="25" t="s">
        <v>459</v>
      </c>
      <c r="G14" s="24"/>
      <c r="M14" s="24"/>
    </row>
    <row r="15" spans="4:14" x14ac:dyDescent="0.15">
      <c r="D15" s="25" t="s">
        <v>454</v>
      </c>
      <c r="E15" s="25" t="s">
        <v>460</v>
      </c>
      <c r="F15" s="25" t="s">
        <v>461</v>
      </c>
      <c r="G15" s="24"/>
      <c r="I15" s="29"/>
      <c r="M15" s="24"/>
    </row>
    <row r="16" spans="4:14" x14ac:dyDescent="0.15">
      <c r="D16" s="23" t="s">
        <v>454</v>
      </c>
      <c r="E16" s="23" t="s">
        <v>460</v>
      </c>
      <c r="F16" s="23" t="s">
        <v>462</v>
      </c>
      <c r="I16" s="31"/>
      <c r="J16" s="30"/>
    </row>
    <row r="17" spans="4:14" x14ac:dyDescent="0.15">
      <c r="D17" s="25" t="s">
        <v>454</v>
      </c>
      <c r="E17" s="25" t="s">
        <v>460</v>
      </c>
      <c r="F17" s="25" t="s">
        <v>463</v>
      </c>
      <c r="G17" s="24"/>
      <c r="I17" s="31"/>
      <c r="L17" s="21"/>
      <c r="M17" s="24"/>
      <c r="N17" s="24"/>
    </row>
    <row r="18" spans="4:14" x14ac:dyDescent="0.15">
      <c r="D18" s="25" t="s">
        <v>454</v>
      </c>
      <c r="E18" s="25" t="s">
        <v>464</v>
      </c>
      <c r="F18" s="25" t="s">
        <v>465</v>
      </c>
      <c r="G18" s="24"/>
      <c r="H18" s="21"/>
      <c r="I18" s="28"/>
    </row>
    <row r="19" spans="4:14" x14ac:dyDescent="0.15">
      <c r="D19" s="25" t="s">
        <v>454</v>
      </c>
      <c r="E19" s="25" t="s">
        <v>464</v>
      </c>
      <c r="F19" s="25" t="s">
        <v>466</v>
      </c>
      <c r="G19" s="24"/>
      <c r="I19" s="28"/>
      <c r="L19" s="24"/>
      <c r="M19" s="24"/>
    </row>
    <row r="20" spans="4:14" ht="29.25" customHeight="1" x14ac:dyDescent="0.15">
      <c r="D20" s="26" t="s">
        <v>438</v>
      </c>
      <c r="E20" s="27"/>
      <c r="F20" s="27"/>
    </row>
  </sheetData>
  <sortState xmlns:xlrd2="http://schemas.microsoft.com/office/spreadsheetml/2017/richdata2" ref="D3:F19">
    <sortCondition ref="D3:D19"/>
    <sortCondition ref="E3:E19"/>
    <sortCondition ref="F3:F19"/>
  </sortState>
  <phoneticPr fontId="38"/>
  <dataValidations count="1">
    <dataValidation type="textLength" operator="lessThanOrEqual" allowBlank="1" showInputMessage="1" showErrorMessage="1" sqref="D3:D19" xr:uid="{00000000-0002-0000-0500-000000000000}">
      <formula1>50</formula1>
    </dataValidation>
  </dataValidations>
  <pageMargins left="0.70866141732283505" right="0.70866141732283505" top="0.74803149606299202" bottom="0.74803149606299202" header="0.31496062992126" footer="0.31496062992126"/>
  <pageSetup paperSize="9" scale="74" fitToHeight="0" orientation="landscape"/>
  <headerFooter>
    <oddFooter>&amp;L&amp;"Meiryo UI,標準"FUJITSU CONFIDENTIAL&amp;R&amp;"Meiryo UI,標準"All Rights Reserved, Copyright (C) 富士通株式会社 2017</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autoPict="0" macro="[0]!bunnruisakusei">
                <anchor moveWithCells="1" sizeWithCells="1">
                  <from>
                    <xdr:col>0</xdr:col>
                    <xdr:colOff>66675</xdr:colOff>
                    <xdr:row>0</xdr:row>
                    <xdr:rowOff>200025</xdr:rowOff>
                  </from>
                  <to>
                    <xdr:col>2</xdr:col>
                    <xdr:colOff>438150</xdr:colOff>
                    <xdr:row>3</xdr:row>
                    <xdr:rowOff>133350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pageSetUpPr fitToPage="1"/>
  </sheetPr>
  <dimension ref="D1:L52"/>
  <sheetViews>
    <sheetView zoomScale="85" zoomScaleNormal="85" zoomScaleSheetLayoutView="85" zoomScalePageLayoutView="85" workbookViewId="0"/>
  </sheetViews>
  <sheetFormatPr defaultColWidth="9" defaultRowHeight="15.75" x14ac:dyDescent="0.15"/>
  <cols>
    <col min="1" max="3" width="2.125" style="7" customWidth="1"/>
    <col min="4" max="4" width="15.375" style="7" customWidth="1"/>
    <col min="5" max="5" width="5.375" style="7" customWidth="1"/>
    <col min="6" max="7" width="15.375" style="7" customWidth="1"/>
    <col min="8" max="8" width="15.375" style="8" customWidth="1"/>
    <col min="9" max="9" width="5.375" style="7" customWidth="1"/>
    <col min="10" max="11" width="15.375" style="7" customWidth="1"/>
    <col min="12" max="12" width="15.375" style="9" customWidth="1"/>
    <col min="13" max="16384" width="9" style="7"/>
  </cols>
  <sheetData>
    <row r="1" spans="4:12" s="6" customFormat="1" x14ac:dyDescent="0.15">
      <c r="H1" s="10"/>
      <c r="L1" s="16"/>
    </row>
    <row r="2" spans="4:12" ht="31.5" customHeight="1" x14ac:dyDescent="0.15">
      <c r="D2" s="11" t="s">
        <v>467</v>
      </c>
      <c r="E2" s="12"/>
      <c r="F2" s="11" t="s">
        <v>29</v>
      </c>
      <c r="G2" s="11" t="str">
        <f>管理単位_管理単位１</f>
        <v>業務プロセス名</v>
      </c>
      <c r="H2" s="13" t="str">
        <f>管理単位_管理単位１&amp;"の
参照範囲"</f>
        <v>業務プロセス名の
参照範囲</v>
      </c>
      <c r="I2" s="17"/>
      <c r="J2" s="13" t="str">
        <f>"サブシステム名＆"&amp;管理単位_管理単位１</f>
        <v>サブシステム名＆業務プロセス名</v>
      </c>
      <c r="K2" s="11" t="str">
        <f>管理単位_管理単位２</f>
        <v>プロセス名</v>
      </c>
      <c r="L2" s="18" t="str">
        <f>管理単位_管理単位２&amp;"の
参照範囲"</f>
        <v>プロセス名の
参照範囲</v>
      </c>
    </row>
    <row r="3" spans="4:12" x14ac:dyDescent="0.15">
      <c r="D3" s="14" t="s">
        <v>119</v>
      </c>
      <c r="F3" s="15" t="s">
        <v>119</v>
      </c>
      <c r="G3" s="15" t="s">
        <v>119</v>
      </c>
      <c r="H3" s="8" t="s">
        <v>468</v>
      </c>
      <c r="J3" s="14" t="s">
        <v>469</v>
      </c>
      <c r="K3" s="14" t="s">
        <v>443</v>
      </c>
      <c r="L3" s="19" t="s">
        <v>470</v>
      </c>
    </row>
    <row r="4" spans="4:12" x14ac:dyDescent="0.15">
      <c r="D4" s="15" t="s">
        <v>471</v>
      </c>
      <c r="F4" s="15" t="s">
        <v>119</v>
      </c>
      <c r="G4" s="15" t="s">
        <v>472</v>
      </c>
      <c r="H4" s="8" t="s">
        <v>468</v>
      </c>
      <c r="J4" s="15" t="s">
        <v>469</v>
      </c>
      <c r="K4" s="15" t="s">
        <v>444</v>
      </c>
      <c r="L4" s="9" t="s">
        <v>470</v>
      </c>
    </row>
    <row r="5" spans="4:12" x14ac:dyDescent="0.15">
      <c r="D5" s="15" t="s">
        <v>94</v>
      </c>
      <c r="F5" s="15" t="s">
        <v>119</v>
      </c>
      <c r="G5" s="15" t="s">
        <v>120</v>
      </c>
      <c r="H5" s="8" t="s">
        <v>468</v>
      </c>
      <c r="J5" s="15" t="s">
        <v>469</v>
      </c>
      <c r="K5" s="15" t="s">
        <v>445</v>
      </c>
      <c r="L5" s="9" t="s">
        <v>470</v>
      </c>
    </row>
    <row r="6" spans="4:12" x14ac:dyDescent="0.15">
      <c r="D6" s="15"/>
      <c r="F6" s="15" t="s">
        <v>471</v>
      </c>
      <c r="G6" s="15" t="s">
        <v>471</v>
      </c>
      <c r="H6" s="8" t="s">
        <v>473</v>
      </c>
      <c r="J6" s="15" t="s">
        <v>474</v>
      </c>
      <c r="K6" s="15" t="s">
        <v>447</v>
      </c>
      <c r="L6" s="9" t="s">
        <v>475</v>
      </c>
    </row>
    <row r="7" spans="4:12" x14ac:dyDescent="0.15">
      <c r="D7" s="15"/>
      <c r="F7" s="15" t="s">
        <v>94</v>
      </c>
      <c r="G7" s="15" t="s">
        <v>95</v>
      </c>
      <c r="H7" s="8" t="s">
        <v>476</v>
      </c>
      <c r="J7" s="15" t="s">
        <v>474</v>
      </c>
      <c r="K7" s="15" t="s">
        <v>448</v>
      </c>
      <c r="L7" s="9" t="s">
        <v>475</v>
      </c>
    </row>
    <row r="8" spans="4:12" x14ac:dyDescent="0.15">
      <c r="D8" s="15"/>
      <c r="F8" s="15" t="s">
        <v>94</v>
      </c>
      <c r="G8" s="15" t="s">
        <v>94</v>
      </c>
      <c r="H8" s="8" t="s">
        <v>476</v>
      </c>
      <c r="J8" s="15" t="s">
        <v>474</v>
      </c>
      <c r="K8" s="15" t="s">
        <v>449</v>
      </c>
      <c r="L8" s="9" t="s">
        <v>475</v>
      </c>
    </row>
    <row r="9" spans="4:12" x14ac:dyDescent="0.15">
      <c r="D9" s="15"/>
      <c r="F9" s="15"/>
      <c r="G9" s="15"/>
      <c r="J9" s="15" t="s">
        <v>477</v>
      </c>
      <c r="K9" s="15" t="s">
        <v>451</v>
      </c>
      <c r="L9" s="9" t="s">
        <v>478</v>
      </c>
    </row>
    <row r="10" spans="4:12" x14ac:dyDescent="0.15">
      <c r="D10" s="15"/>
      <c r="F10" s="15"/>
      <c r="G10" s="15"/>
      <c r="J10" s="15" t="s">
        <v>477</v>
      </c>
      <c r="K10" s="15" t="s">
        <v>452</v>
      </c>
      <c r="L10" s="9" t="s">
        <v>478</v>
      </c>
    </row>
    <row r="11" spans="4:12" x14ac:dyDescent="0.15">
      <c r="D11" s="15"/>
      <c r="F11" s="15"/>
      <c r="G11" s="15"/>
      <c r="J11" s="15" t="s">
        <v>477</v>
      </c>
      <c r="K11" s="15" t="s">
        <v>453</v>
      </c>
      <c r="L11" s="9" t="s">
        <v>478</v>
      </c>
    </row>
    <row r="12" spans="4:12" x14ac:dyDescent="0.15">
      <c r="D12" s="15"/>
      <c r="F12" s="15"/>
      <c r="G12" s="15"/>
      <c r="J12" s="15" t="s">
        <v>479</v>
      </c>
      <c r="K12" s="15" t="s">
        <v>456</v>
      </c>
      <c r="L12" s="9" t="s">
        <v>480</v>
      </c>
    </row>
    <row r="13" spans="4:12" x14ac:dyDescent="0.15">
      <c r="D13" s="15"/>
      <c r="F13" s="15"/>
      <c r="G13" s="15"/>
      <c r="J13" s="15" t="s">
        <v>479</v>
      </c>
      <c r="K13" s="15" t="s">
        <v>457</v>
      </c>
      <c r="L13" s="9" t="s">
        <v>480</v>
      </c>
    </row>
    <row r="14" spans="4:12" x14ac:dyDescent="0.15">
      <c r="D14" s="15"/>
      <c r="F14" s="15"/>
      <c r="G14" s="15"/>
      <c r="J14" s="15" t="s">
        <v>479</v>
      </c>
      <c r="K14" s="15" t="s">
        <v>459</v>
      </c>
      <c r="L14" s="9" t="s">
        <v>480</v>
      </c>
    </row>
    <row r="15" spans="4:12" x14ac:dyDescent="0.15">
      <c r="D15" s="15"/>
      <c r="F15" s="15"/>
      <c r="G15" s="15"/>
      <c r="J15" s="15" t="s">
        <v>481</v>
      </c>
      <c r="K15" s="15" t="s">
        <v>461</v>
      </c>
      <c r="L15" s="9" t="s">
        <v>482</v>
      </c>
    </row>
    <row r="16" spans="4:12" x14ac:dyDescent="0.15">
      <c r="D16" s="15"/>
      <c r="F16" s="15"/>
      <c r="G16" s="15"/>
      <c r="J16" s="15" t="s">
        <v>481</v>
      </c>
      <c r="K16" s="15" t="s">
        <v>462</v>
      </c>
      <c r="L16" s="9" t="s">
        <v>482</v>
      </c>
    </row>
    <row r="17" spans="4:12" x14ac:dyDescent="0.15">
      <c r="D17" s="15"/>
      <c r="F17" s="15"/>
      <c r="G17" s="15"/>
      <c r="J17" s="15" t="s">
        <v>481</v>
      </c>
      <c r="K17" s="15" t="s">
        <v>463</v>
      </c>
      <c r="L17" s="9" t="s">
        <v>482</v>
      </c>
    </row>
    <row r="18" spans="4:12" x14ac:dyDescent="0.15">
      <c r="D18" s="15"/>
      <c r="F18" s="15"/>
      <c r="G18" s="15"/>
      <c r="J18" s="15" t="s">
        <v>483</v>
      </c>
      <c r="K18" s="15" t="s">
        <v>465</v>
      </c>
      <c r="L18" s="9" t="s">
        <v>484</v>
      </c>
    </row>
    <row r="19" spans="4:12" x14ac:dyDescent="0.15">
      <c r="D19" s="15"/>
      <c r="F19" s="15"/>
      <c r="G19" s="15"/>
      <c r="J19" s="15" t="s">
        <v>483</v>
      </c>
      <c r="K19" s="15" t="s">
        <v>466</v>
      </c>
      <c r="L19" s="9" t="s">
        <v>484</v>
      </c>
    </row>
    <row r="20" spans="4:12" x14ac:dyDescent="0.15">
      <c r="D20" s="15"/>
      <c r="F20" s="15"/>
      <c r="G20" s="15"/>
      <c r="J20" s="15"/>
      <c r="K20" s="15"/>
    </row>
    <row r="21" spans="4:12" x14ac:dyDescent="0.15">
      <c r="D21" s="15"/>
      <c r="F21" s="15"/>
      <c r="G21" s="15"/>
      <c r="J21" s="15"/>
      <c r="K21" s="15"/>
    </row>
    <row r="22" spans="4:12" x14ac:dyDescent="0.15">
      <c r="D22" s="15"/>
      <c r="F22" s="15"/>
      <c r="G22" s="15"/>
      <c r="J22" s="15"/>
      <c r="K22" s="15"/>
    </row>
    <row r="23" spans="4:12" x14ac:dyDescent="0.15">
      <c r="D23" s="15"/>
      <c r="F23" s="15"/>
      <c r="G23" s="15"/>
      <c r="J23" s="15"/>
      <c r="K23" s="15"/>
    </row>
    <row r="24" spans="4:12" x14ac:dyDescent="0.15">
      <c r="D24" s="15"/>
      <c r="F24" s="15"/>
      <c r="G24" s="15"/>
      <c r="J24" s="15"/>
      <c r="K24" s="15"/>
    </row>
    <row r="25" spans="4:12" x14ac:dyDescent="0.15">
      <c r="D25" s="15"/>
      <c r="F25" s="15"/>
      <c r="G25" s="15"/>
      <c r="J25" s="15"/>
      <c r="K25" s="15"/>
    </row>
    <row r="26" spans="4:12" x14ac:dyDescent="0.15">
      <c r="D26" s="15"/>
      <c r="F26" s="15"/>
      <c r="G26" s="15"/>
      <c r="J26" s="15"/>
      <c r="K26" s="15"/>
    </row>
    <row r="27" spans="4:12" x14ac:dyDescent="0.15">
      <c r="D27" s="15"/>
      <c r="F27" s="15"/>
      <c r="G27" s="15"/>
      <c r="J27" s="15"/>
      <c r="K27" s="15"/>
    </row>
    <row r="28" spans="4:12" x14ac:dyDescent="0.15">
      <c r="D28" s="15"/>
      <c r="F28" s="15"/>
      <c r="G28" s="15"/>
      <c r="J28" s="15"/>
      <c r="K28" s="15"/>
    </row>
    <row r="29" spans="4:12" x14ac:dyDescent="0.15">
      <c r="D29" s="15"/>
      <c r="F29" s="15"/>
      <c r="G29" s="15"/>
      <c r="J29" s="15"/>
      <c r="K29" s="15"/>
    </row>
    <row r="30" spans="4:12" x14ac:dyDescent="0.15">
      <c r="D30" s="15"/>
      <c r="F30" s="15"/>
      <c r="G30" s="15"/>
      <c r="J30" s="15"/>
      <c r="K30" s="15"/>
    </row>
    <row r="31" spans="4:12" x14ac:dyDescent="0.15">
      <c r="D31" s="15"/>
      <c r="F31" s="15"/>
      <c r="G31" s="15"/>
      <c r="J31" s="15"/>
      <c r="K31" s="15"/>
    </row>
    <row r="32" spans="4:12" x14ac:dyDescent="0.15">
      <c r="D32" s="15"/>
      <c r="F32" s="15"/>
      <c r="G32" s="15"/>
      <c r="J32" s="15"/>
      <c r="K32" s="15"/>
    </row>
    <row r="33" spans="4:11" x14ac:dyDescent="0.15">
      <c r="D33" s="15"/>
      <c r="F33" s="15"/>
      <c r="G33" s="15"/>
      <c r="J33" s="15"/>
      <c r="K33" s="15"/>
    </row>
    <row r="34" spans="4:11" x14ac:dyDescent="0.15">
      <c r="D34" s="15"/>
      <c r="F34" s="15"/>
      <c r="G34" s="15"/>
      <c r="J34" s="15"/>
      <c r="K34" s="15"/>
    </row>
    <row r="35" spans="4:11" x14ac:dyDescent="0.15">
      <c r="D35" s="15"/>
      <c r="F35" s="15"/>
      <c r="G35" s="15"/>
      <c r="J35" s="15"/>
      <c r="K35" s="15"/>
    </row>
    <row r="36" spans="4:11" x14ac:dyDescent="0.15">
      <c r="D36" s="15"/>
      <c r="F36" s="15"/>
      <c r="G36" s="15"/>
      <c r="J36" s="15"/>
      <c r="K36" s="15"/>
    </row>
    <row r="37" spans="4:11" x14ac:dyDescent="0.15">
      <c r="D37" s="15"/>
      <c r="F37" s="15"/>
      <c r="G37" s="15"/>
      <c r="J37" s="15"/>
      <c r="K37" s="15"/>
    </row>
    <row r="38" spans="4:11" x14ac:dyDescent="0.15">
      <c r="D38" s="15"/>
      <c r="F38" s="15"/>
      <c r="G38" s="15"/>
      <c r="J38" s="15"/>
      <c r="K38" s="15"/>
    </row>
    <row r="39" spans="4:11" x14ac:dyDescent="0.15">
      <c r="D39" s="15"/>
      <c r="F39" s="15"/>
      <c r="G39" s="15"/>
      <c r="J39" s="15"/>
      <c r="K39" s="15"/>
    </row>
    <row r="40" spans="4:11" x14ac:dyDescent="0.15">
      <c r="D40" s="15"/>
      <c r="F40" s="15"/>
      <c r="G40" s="15"/>
      <c r="J40" s="15"/>
      <c r="K40" s="15"/>
    </row>
    <row r="41" spans="4:11" x14ac:dyDescent="0.15">
      <c r="D41" s="15"/>
      <c r="F41" s="15"/>
      <c r="G41" s="15"/>
      <c r="J41" s="15"/>
      <c r="K41" s="15"/>
    </row>
    <row r="42" spans="4:11" x14ac:dyDescent="0.15">
      <c r="D42" s="15"/>
      <c r="F42" s="15"/>
      <c r="G42" s="15"/>
      <c r="J42" s="15"/>
      <c r="K42" s="15"/>
    </row>
    <row r="43" spans="4:11" x14ac:dyDescent="0.15">
      <c r="D43" s="15"/>
      <c r="F43" s="15"/>
      <c r="G43" s="15"/>
      <c r="J43" s="15"/>
      <c r="K43" s="15"/>
    </row>
    <row r="44" spans="4:11" x14ac:dyDescent="0.15">
      <c r="D44" s="15"/>
      <c r="F44" s="15"/>
      <c r="G44" s="15"/>
      <c r="J44" s="15"/>
      <c r="K44" s="15"/>
    </row>
    <row r="45" spans="4:11" x14ac:dyDescent="0.15">
      <c r="D45" s="15"/>
      <c r="F45" s="15"/>
      <c r="G45" s="15"/>
      <c r="J45" s="15"/>
      <c r="K45" s="15"/>
    </row>
    <row r="46" spans="4:11" x14ac:dyDescent="0.15">
      <c r="D46" s="15"/>
      <c r="F46" s="15"/>
      <c r="G46" s="15"/>
      <c r="J46" s="15"/>
      <c r="K46" s="15"/>
    </row>
    <row r="47" spans="4:11" x14ac:dyDescent="0.15">
      <c r="D47" s="15"/>
      <c r="F47" s="15"/>
      <c r="G47" s="15"/>
      <c r="J47" s="15"/>
      <c r="K47" s="15"/>
    </row>
    <row r="48" spans="4:11" x14ac:dyDescent="0.15">
      <c r="D48" s="15"/>
      <c r="F48" s="15"/>
      <c r="G48" s="15"/>
      <c r="J48" s="15"/>
      <c r="K48" s="15"/>
    </row>
    <row r="49" spans="4:11" x14ac:dyDescent="0.15">
      <c r="D49" s="15"/>
      <c r="F49" s="15"/>
      <c r="G49" s="15"/>
      <c r="J49" s="15"/>
      <c r="K49" s="15"/>
    </row>
    <row r="50" spans="4:11" x14ac:dyDescent="0.15">
      <c r="D50" s="15"/>
      <c r="F50" s="15"/>
      <c r="G50" s="15"/>
      <c r="J50" s="15"/>
      <c r="K50" s="15"/>
    </row>
    <row r="51" spans="4:11" x14ac:dyDescent="0.15">
      <c r="J51" s="15"/>
      <c r="K51" s="15"/>
    </row>
    <row r="52" spans="4:11" x14ac:dyDescent="0.15">
      <c r="J52" s="15"/>
      <c r="K52" s="15"/>
    </row>
  </sheetData>
  <phoneticPr fontId="38"/>
  <pageMargins left="0.70866141732283505" right="0.70866141732283505" top="0.74803149606299202" bottom="0.74803149606299202" header="0.31496062992126" footer="0.31496062992126"/>
  <pageSetup paperSize="9" fitToHeight="0" orientation="landscape"/>
  <headerFooter>
    <oddFooter>&amp;L&amp;"Meiryo UI,標準"FUJITSU CONFIDENTIAL&amp;R&amp;"Meiryo UI,標準"All Rights Reserved, Copyright (C) 富士通株式会社 2017</oddFooter>
  </headerFooter>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pageSetUpPr fitToPage="1"/>
  </sheetPr>
  <dimension ref="A1:C5"/>
  <sheetViews>
    <sheetView workbookViewId="0"/>
  </sheetViews>
  <sheetFormatPr defaultColWidth="9" defaultRowHeight="15.75" x14ac:dyDescent="0.15"/>
  <cols>
    <col min="1" max="1" width="2.625" style="1" customWidth="1"/>
    <col min="2" max="2" width="15.625" style="1" customWidth="1"/>
    <col min="3" max="3" width="50.625" style="1" customWidth="1"/>
    <col min="4" max="16384" width="9" style="1"/>
  </cols>
  <sheetData>
    <row r="1" spans="1:3" ht="19.5" x14ac:dyDescent="0.15">
      <c r="A1" s="2" t="s">
        <v>485</v>
      </c>
    </row>
    <row r="3" spans="1:3" ht="21.95" hidden="1" customHeight="1" x14ac:dyDescent="0.15">
      <c r="B3" s="3" t="s">
        <v>486</v>
      </c>
      <c r="C3" s="4" t="s">
        <v>26</v>
      </c>
    </row>
    <row r="4" spans="1:3" ht="21.95" customHeight="1" x14ac:dyDescent="0.15">
      <c r="B4" s="3" t="s">
        <v>487</v>
      </c>
      <c r="C4" s="4" t="s">
        <v>488</v>
      </c>
    </row>
    <row r="5" spans="1:3" ht="18" customHeight="1" x14ac:dyDescent="0.15">
      <c r="B5" s="3" t="s">
        <v>489</v>
      </c>
      <c r="C5" s="5">
        <v>2</v>
      </c>
    </row>
  </sheetData>
  <sheetProtection algorithmName="SHA-512" hashValue="pCo3sy6LKnqv11lSsBgjKJjZRBog+gStlPG65sHf4UxA3XBrBUus8j3+yoLk/VlU/85VZHaHcPT1FA3YW6Sj0w==" saltValue="Tkf6ZWiO76LrCPe0AR1c5w==" spinCount="100000" sheet="1" objects="1" scenarios="1"/>
  <phoneticPr fontId="38"/>
  <pageMargins left="0.70866141732283505" right="0.70866141732283505" top="0.74803149606299202" bottom="0.74803149606299202" header="0.31496062992126" footer="0.31496062992126"/>
  <pageSetup paperSize="9" fitToHeight="0" orientation="landscape"/>
  <headerFooter>
    <oddFooter>&amp;L&amp;"Meiryo UI,標準"FUJITSU CONFIDENTIAL&amp;R&amp;"Meiryo UI,標準"All Rights Reserved, Copyright (C) 富士通株式会社 2017</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50a4ca88-cb37-4c0f-bdc3-b126b2940243" xsi:nil="true"/>
    <lcf76f155ced4ddcb4097134ff3c332f xmlns="0361a04c-b8e1-45b2-817e-ae8c5326abb0">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10DBC0B5C91EDE45A9473F7393FAB055" ma:contentTypeVersion="14" ma:contentTypeDescription="新しいドキュメントを作成します。" ma:contentTypeScope="" ma:versionID="148aa4b6efc48f28ee65ce8a0966d6d8">
  <xsd:schema xmlns:xsd="http://www.w3.org/2001/XMLSchema" xmlns:xs="http://www.w3.org/2001/XMLSchema" xmlns:p="http://schemas.microsoft.com/office/2006/metadata/properties" xmlns:ns2="0361a04c-b8e1-45b2-817e-ae8c5326abb0" xmlns:ns3="50a4ca88-cb37-4c0f-bdc3-b126b2940243" targetNamespace="http://schemas.microsoft.com/office/2006/metadata/properties" ma:root="true" ma:fieldsID="36b92dba60246fbeb703b4129c7ad293" ns2:_="" ns3:_="">
    <xsd:import namespace="0361a04c-b8e1-45b2-817e-ae8c5326abb0"/>
    <xsd:import namespace="50a4ca88-cb37-4c0f-bdc3-b126b2940243"/>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LengthInSeconds" minOccurs="0"/>
                <xsd:element ref="ns2:MediaServiceDateTaken"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361a04c-b8e1-45b2-817e-ae8c5326ab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ee56555f-325e-447c-a23e-1a767f6c387b"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0a4ca88-cb37-4c0f-bdc3-b126b2940243"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element name="TaxCatchAll" ma:index="14" nillable="true" ma:displayName="Taxonomy Catch All Column" ma:hidden="true" ma:list="{e4944a16-9a6f-4978-962c-6ff3bd5b7e04}" ma:internalName="TaxCatchAll" ma:showField="CatchAllData" ma:web="50a4ca88-cb37-4c0f-bdc3-b126b294024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allowEditUser xmlns="https://web.wps.cn/et/2018/main" xmlns:s="http://schemas.openxmlformats.org/spreadsheetml/2006/main" hasInvisiblePropRange="0">
  <rangeList sheetStid="10" master="" otherUserPermission="visible"/>
  <rangeList sheetStid="1" master="" otherUserPermission="visible"/>
  <rangeList sheetStid="8" master="" otherUserPermission="visible"/>
  <rangeList sheetStid="2" master="" otherUserPermission="visible"/>
  <rangeList sheetStid="3" master="" otherUserPermission="visible"/>
  <rangeList sheetStid="4" master="" otherUserPermission="visible"/>
  <rangeList sheetStid="9" master="" otherUserPermission="visible"/>
  <rangeList sheetStid="7" master="" otherUserPermission="visible"/>
</allowEditUser>
</file>

<file path=customXml/itemProps1.xml><?xml version="1.0" encoding="utf-8"?>
<ds:datastoreItem xmlns:ds="http://schemas.openxmlformats.org/officeDocument/2006/customXml" ds:itemID="{C3C893C4-E1B7-4118-8B51-B063DC808BB1}">
  <ds:schemaRefs/>
</ds:datastoreItem>
</file>

<file path=customXml/itemProps2.xml><?xml version="1.0" encoding="utf-8"?>
<ds:datastoreItem xmlns:ds="http://schemas.openxmlformats.org/officeDocument/2006/customXml" ds:itemID="{07DB1EBE-D33B-4D4F-BD42-D579839AF98E}">
  <ds:schemaRefs/>
</ds:datastoreItem>
</file>

<file path=customXml/itemProps3.xml><?xml version="1.0" encoding="utf-8"?>
<ds:datastoreItem xmlns:ds="http://schemas.openxmlformats.org/officeDocument/2006/customXml" ds:itemID="{4FE9F63E-492F-425C-B41D-21A9BA056775}">
  <ds:schemaRefs/>
</ds:datastoreItem>
</file>

<file path=customXml/itemProps4.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130</vt:i4>
      </vt:variant>
    </vt:vector>
  </HeadingPairs>
  <TitlesOfParts>
    <vt:vector size="138" baseType="lpstr">
      <vt:lpstr>障害No7_図-表記</vt:lpstr>
      <vt:lpstr>障害票一覧</vt:lpstr>
      <vt:lpstr>表示項目</vt:lpstr>
      <vt:lpstr>コード表</vt:lpstr>
      <vt:lpstr>原因区分</vt:lpstr>
      <vt:lpstr>設定シート</vt:lpstr>
      <vt:lpstr>プロセス</vt:lpstr>
      <vt:lpstr>バージョン情報</vt:lpstr>
      <vt:lpstr>原因区分!Print_Area</vt:lpstr>
      <vt:lpstr>障害票一覧!Print_Area</vt:lpstr>
      <vt:lpstr>設定シート!Print_Area</vt:lpstr>
      <vt:lpstr>表示項目!ケース番号リスト範囲</vt:lpstr>
      <vt:lpstr>ケース番号リスト範囲</vt:lpstr>
      <vt:lpstr>コード表_ケース番号_開始</vt:lpstr>
      <vt:lpstr>コード表_ケース番号_終了</vt:lpstr>
      <vt:lpstr>コード表_シナリオID_開始</vt:lpstr>
      <vt:lpstr>コード表_シナリオID_終了</vt:lpstr>
      <vt:lpstr>コード表_影響度_開始</vt:lpstr>
      <vt:lpstr>コード表_影響度_終了</vt:lpstr>
      <vt:lpstr>コード表_管理識別_開始</vt:lpstr>
      <vt:lpstr>コード表_管理識別_終了</vt:lpstr>
      <vt:lpstr>コード表_工程_開始</vt:lpstr>
      <vt:lpstr>コード表_工程_終了</vt:lpstr>
      <vt:lpstr>コード表_重要度_開始</vt:lpstr>
      <vt:lpstr>コード表_重要度_終了</vt:lpstr>
      <vt:lpstr>コード表_所属略称_開始</vt:lpstr>
      <vt:lpstr>コード表_所属略称_終了</vt:lpstr>
      <vt:lpstr>コード表_担当者_開始</vt:lpstr>
      <vt:lpstr>コード表_担当者_終了</vt:lpstr>
      <vt:lpstr>コード表_発生頻度_開始</vt:lpstr>
      <vt:lpstr>コード表_発生頻度_終了</vt:lpstr>
      <vt:lpstr>コード表_不具合原因_開始</vt:lpstr>
      <vt:lpstr>コード表_不具合原因_終了</vt:lpstr>
      <vt:lpstr>コード表_不具合内容_開始</vt:lpstr>
      <vt:lpstr>コード表_不具合内容_終了</vt:lpstr>
      <vt:lpstr>表示項目!サブシステムリスト</vt:lpstr>
      <vt:lpstr>サブシステム選択</vt:lpstr>
      <vt:lpstr>サブシステム名</vt:lpstr>
      <vt:lpstr>システム名</vt:lpstr>
      <vt:lpstr>表示項目!シナリオIDリスト範囲</vt:lpstr>
      <vt:lpstr>シナリオIDリスト範囲</vt:lpstr>
      <vt:lpstr>ドキュメント</vt:lpstr>
      <vt:lpstr>バージョン</vt:lpstr>
      <vt:lpstr>プロジェクト名</vt:lpstr>
      <vt:lpstr>プロセス範囲</vt:lpstr>
      <vt:lpstr>表示項目!影響度リスト範囲</vt:lpstr>
      <vt:lpstr>影響度リスト範囲</vt:lpstr>
      <vt:lpstr>表示項目!管理識別リスト範囲</vt:lpstr>
      <vt:lpstr>管理識別リスト範囲</vt:lpstr>
      <vt:lpstr>管理単位_サブシステム</vt:lpstr>
      <vt:lpstr>管理単位_開始</vt:lpstr>
      <vt:lpstr>表示項目!管理単位_管理単位１</vt:lpstr>
      <vt:lpstr>管理単位_管理単位１</vt:lpstr>
      <vt:lpstr>表示項目!管理単位_管理単位２</vt:lpstr>
      <vt:lpstr>管理単位_管理単位２</vt:lpstr>
      <vt:lpstr>管理単位_終了</vt:lpstr>
      <vt:lpstr>管理単位名_管理単位１</vt:lpstr>
      <vt:lpstr>管理単位名_管理単位２</vt:lpstr>
      <vt:lpstr>表示項目!業務プロセスリスト</vt:lpstr>
      <vt:lpstr>業務プロセス範囲</vt:lpstr>
      <vt:lpstr>表示項目!原因サブ</vt:lpstr>
      <vt:lpstr>原因一覧_ヘッダ_原因区分</vt:lpstr>
      <vt:lpstr>原因一覧_ヘッダ_原因区分詳細</vt:lpstr>
      <vt:lpstr>原因一覧_ヘッダ_原因区分詳細内容説明</vt:lpstr>
      <vt:lpstr>原因一覧_ヘッダ_原因分類</vt:lpstr>
      <vt:lpstr>原因一覧_開始</vt:lpstr>
      <vt:lpstr>原因一覧_終了</vt:lpstr>
      <vt:lpstr>表示項目!原因工程リスト範囲</vt:lpstr>
      <vt:lpstr>原因工程リスト範囲</vt:lpstr>
      <vt:lpstr>顧客名</vt:lpstr>
      <vt:lpstr>工程名</vt:lpstr>
      <vt:lpstr>表示項目!重要度リスト範囲</vt:lpstr>
      <vt:lpstr>重要度リスト範囲</vt:lpstr>
      <vt:lpstr>表示項目!所属略称リスト範囲</vt:lpstr>
      <vt:lpstr>所属略称リスト範囲</vt:lpstr>
      <vt:lpstr>障害原因リンク</vt:lpstr>
      <vt:lpstr>障害原因範囲</vt:lpstr>
      <vt:lpstr>障害情報リンク</vt:lpstr>
      <vt:lpstr>障害情報範囲</vt:lpstr>
      <vt:lpstr>障害票一覧_ヘッダ_シナリオID</vt:lpstr>
      <vt:lpstr>障害票一覧_ヘッダ_ステータス</vt:lpstr>
      <vt:lpstr>障害票一覧_ヘッダ_テストケースID</vt:lpstr>
      <vt:lpstr>障害票一覧_ヘッダ_テストケース番号</vt:lpstr>
      <vt:lpstr>障害票一覧_ヘッダ_テスト項目№</vt:lpstr>
      <vt:lpstr>障害票一覧_ヘッダ_リリース完了日</vt:lpstr>
      <vt:lpstr>障害票一覧_ヘッダ_リリース予定日</vt:lpstr>
      <vt:lpstr>障害票一覧_ヘッダ_依頼日</vt:lpstr>
      <vt:lpstr>障害票一覧_ヘッダ_影響度</vt:lpstr>
      <vt:lpstr>障害票一覧_ヘッダ_横展開内容</vt:lpstr>
      <vt:lpstr>障害票一覧_ヘッダ_横展開要否</vt:lpstr>
      <vt:lpstr>障害票一覧_ヘッダ_開発担当会社</vt:lpstr>
      <vt:lpstr>障害票一覧_ヘッダ_開発担当者</vt:lpstr>
      <vt:lpstr>障害票一覧_ヘッダ_管理識別</vt:lpstr>
      <vt:lpstr>障害票一覧_ヘッダ_管理番号</vt:lpstr>
      <vt:lpstr>障害票一覧_ヘッダ_関連障害番号</vt:lpstr>
      <vt:lpstr>障害票一覧_ヘッダ_起票者</vt:lpstr>
      <vt:lpstr>障害票一覧_ヘッダ_件名</vt:lpstr>
      <vt:lpstr>障害票一覧_ヘッダ_検証完了日</vt:lpstr>
      <vt:lpstr>障害票一覧_ヘッダ_検証者</vt:lpstr>
      <vt:lpstr>障害票一覧_ヘッダ_検証予定日</vt:lpstr>
      <vt:lpstr>障害票一覧_ヘッダ_原因</vt:lpstr>
      <vt:lpstr>障害票一覧_ヘッダ_原因サブシステム名</vt:lpstr>
      <vt:lpstr>障害票一覧_ヘッダ_原因プロセス名</vt:lpstr>
      <vt:lpstr>障害票一覧_ヘッダ_原因業務プロセス名</vt:lpstr>
      <vt:lpstr>障害票一覧_ヘッダ_原因区分</vt:lpstr>
      <vt:lpstr>障害票一覧_ヘッダ_原因区分詳細</vt:lpstr>
      <vt:lpstr>障害票一覧_ヘッダ_原因工程</vt:lpstr>
      <vt:lpstr>障害票一覧_ヘッダ_原因分類</vt:lpstr>
      <vt:lpstr>障害票一覧_ヘッダ_最終行</vt:lpstr>
      <vt:lpstr>障害票一覧_ヘッダ_修正対象</vt:lpstr>
      <vt:lpstr>障害票一覧_ヘッダ_重要度</vt:lpstr>
      <vt:lpstr>障害票一覧_ヘッダ_障害管理番号</vt:lpstr>
      <vt:lpstr>障害票一覧_ヘッダ_対応完了日</vt:lpstr>
      <vt:lpstr>障害票一覧_ヘッダ_対応希望日</vt:lpstr>
      <vt:lpstr>障害票一覧_ヘッダ_対応者</vt:lpstr>
      <vt:lpstr>障害票一覧_ヘッダ_対応受付日</vt:lpstr>
      <vt:lpstr>障害票一覧_ヘッダ_対応予定日</vt:lpstr>
      <vt:lpstr>障害票一覧_ヘッダ_対処</vt:lpstr>
      <vt:lpstr>障害票一覧_ヘッダ_内容</vt:lpstr>
      <vt:lpstr>障害票一覧_ヘッダ_発生サブシステム名</vt:lpstr>
      <vt:lpstr>障害票一覧_ヘッダ_発生プロセス名</vt:lpstr>
      <vt:lpstr>障害票一覧_ヘッダ_発生業務プロセス名</vt:lpstr>
      <vt:lpstr>障害票一覧_ヘッダ_発生日</vt:lpstr>
      <vt:lpstr>障害票一覧_ヘッダ_発生頻度</vt:lpstr>
      <vt:lpstr>障害票一覧_ヘッダ_不具合原因</vt:lpstr>
      <vt:lpstr>障害票一覧_ヘッダ_不具合内容</vt:lpstr>
      <vt:lpstr>障害票一覧_ヘッダ_無効行</vt:lpstr>
      <vt:lpstr>障害票一覧_最終行</vt:lpstr>
      <vt:lpstr>対処内容リンク</vt:lpstr>
      <vt:lpstr>対処内容範囲</vt:lpstr>
      <vt:lpstr>表示項目!担当者名リスト範囲</vt:lpstr>
      <vt:lpstr>担当者名リスト範囲</vt:lpstr>
      <vt:lpstr>表示項目!発生頻度リスト範囲</vt:lpstr>
      <vt:lpstr>発生頻度リスト範囲</vt:lpstr>
      <vt:lpstr>表示項目!不具合原因リスト範囲</vt:lpstr>
      <vt:lpstr>不具合原因リスト範囲</vt:lpstr>
      <vt:lpstr>表示項目!不具合内容リスト範囲</vt:lpstr>
      <vt:lpstr>不具合内容リスト範囲</vt:lpstr>
    </vt:vector>
  </TitlesOfParts>
  <Company>富士通株式会社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Fujitsu Admin</dc:creator>
  <cp:lastModifiedBy>Nakamura Ryota</cp:lastModifiedBy>
  <dcterms:created xsi:type="dcterms:W3CDTF">2014-10-02T00:27:00Z</dcterms:created>
  <dcterms:modified xsi:type="dcterms:W3CDTF">2024-11-26T11:03:34Z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7295cc1-d279-42ac-ab4d-3b0f4fece050_Enabled">
    <vt:lpwstr>true</vt:lpwstr>
  </property>
  <property fmtid="{D5CDD505-2E9C-101B-9397-08002B2CF9AE}" pid="3" name="MSIP_Label_a7295cc1-d279-42ac-ab4d-3b0f4fece050_SetDate">
    <vt:lpwstr>2021-11-12T10:41:47Z</vt:lpwstr>
  </property>
  <property fmtid="{D5CDD505-2E9C-101B-9397-08002B2CF9AE}" pid="4" name="MSIP_Label_a7295cc1-d279-42ac-ab4d-3b0f4fece050_Method">
    <vt:lpwstr>Standard</vt:lpwstr>
  </property>
  <property fmtid="{D5CDD505-2E9C-101B-9397-08002B2CF9AE}" pid="5" name="MSIP_Label_a7295cc1-d279-42ac-ab4d-3b0f4fece050_Name">
    <vt:lpwstr>FUJITSU-RESTRICTED​</vt:lpwstr>
  </property>
  <property fmtid="{D5CDD505-2E9C-101B-9397-08002B2CF9AE}" pid="6" name="MSIP_Label_a7295cc1-d279-42ac-ab4d-3b0f4fece050_SiteId">
    <vt:lpwstr>a19f121d-81e1-4858-a9d8-736e267fd4c7</vt:lpwstr>
  </property>
  <property fmtid="{D5CDD505-2E9C-101B-9397-08002B2CF9AE}" pid="7" name="MSIP_Label_a7295cc1-d279-42ac-ab4d-3b0f4fece050_ActionId">
    <vt:lpwstr>b9672a27-fd6a-4f77-ac3d-c4f878de41be</vt:lpwstr>
  </property>
  <property fmtid="{D5CDD505-2E9C-101B-9397-08002B2CF9AE}" pid="8" name="MSIP_Label_a7295cc1-d279-42ac-ab4d-3b0f4fece050_ContentBits">
    <vt:lpwstr>0</vt:lpwstr>
  </property>
  <property fmtid="{D5CDD505-2E9C-101B-9397-08002B2CF9AE}" pid="9" name="ContentTypeId">
    <vt:lpwstr>0x01010010DBC0B5C91EDE45A9473F7393FAB055</vt:lpwstr>
  </property>
  <property fmtid="{D5CDD505-2E9C-101B-9397-08002B2CF9AE}" pid="10" name="MediaServiceImageTags">
    <vt:lpwstr/>
  </property>
  <property fmtid="{D5CDD505-2E9C-101B-9397-08002B2CF9AE}" pid="11" name="ICV">
    <vt:lpwstr>E2A1ED1964214232AA6DEDA2B88589A3_12</vt:lpwstr>
  </property>
  <property fmtid="{D5CDD505-2E9C-101B-9397-08002B2CF9AE}" pid="12" name="KSOProductBuildVer">
    <vt:lpwstr>1033-12.2.0.18911</vt:lpwstr>
  </property>
</Properties>
</file>